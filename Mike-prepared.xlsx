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数据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<sst xmlns="http://schemas.openxmlformats.org/spreadsheetml/2006/main" uniqueCount="47">
  <si>
    <t>区县</t>
  </si>
  <si>
    <t>客户经理数</t>
  </si>
  <si>
    <t>客户数</t>
  </si>
  <si>
    <t>区域内规模以上企业数（指2000万收入以上的企业)</t>
  </si>
  <si>
    <t>区域内未成为客户的数量</t>
  </si>
  <si>
    <t>区域内未成为客户的企业占比</t>
  </si>
  <si>
    <t>2025年工业收入（万元）</t>
  </si>
  <si>
    <t>单位客户收入（万元）</t>
  </si>
  <si>
    <t>人均产值（万元）</t>
  </si>
  <si>
    <t>人均服务客户数</t>
  </si>
  <si>
    <t>区域内24年收入</t>
  </si>
  <si>
    <t>2025年收入目标</t>
  </si>
  <si>
    <t>2025年净增收入目标完成值</t>
  </si>
  <si>
    <t>收入增幅</t>
  </si>
  <si>
    <t>净增收入完成率</t>
  </si>
  <si>
    <t>意向客户数量</t>
  </si>
  <si>
    <t>潜在合作商机金额（万元）</t>
  </si>
  <si>
    <t>按金额统计的实际签约率</t>
  </si>
  <si>
    <t>中小企业数字化转型试点企业代表数</t>
  </si>
  <si>
    <t>中小企业数字化转型试点企业实际签约数</t>
  </si>
  <si>
    <t>5G工厂申报数</t>
  </si>
  <si>
    <t>智慧工厂申报数</t>
  </si>
  <si>
    <t>标准ICT数</t>
  </si>
  <si>
    <t>25年数字化转型签约金额（万元）</t>
  </si>
  <si>
    <t>成华</t>
  </si>
  <si>
    <t>崇州</t>
  </si>
  <si>
    <t>大邑</t>
  </si>
  <si>
    <t>东部新区</t>
  </si>
  <si>
    <t>都江堰</t>
  </si>
  <si>
    <t>高新</t>
  </si>
  <si>
    <t>简阳</t>
  </si>
  <si>
    <t>金牛</t>
  </si>
  <si>
    <t>金堂</t>
  </si>
  <si>
    <t>锦江</t>
  </si>
  <si>
    <t>龙泉</t>
  </si>
  <si>
    <t>彭州</t>
  </si>
  <si>
    <t>郫都</t>
  </si>
  <si>
    <t>蒲江</t>
  </si>
  <si>
    <t>青羊</t>
  </si>
  <si>
    <t>邛崃</t>
  </si>
  <si>
    <t>双流</t>
  </si>
  <si>
    <t>天府新区</t>
  </si>
  <si>
    <t>温江</t>
  </si>
  <si>
    <t>武侯</t>
  </si>
  <si>
    <t>新都</t>
  </si>
  <si>
    <t>新津</t>
  </si>
  <si>
    <t>青白江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</si>
</sst>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&quot; &quot;"/>
    <numFmt numFmtId="60" formatCode="0.00&quot; &quot;"/>
  </numFmts>
  <fonts count="6">
    <font>
      <sz val="11"/>
      <color indexed="8"/>
      <name val="SimSun"/>
    </font>
    <font>
      <sz val="15"/>
      <color indexed="8"/>
      <name val="Calibri"/>
    </font>
    <font>
      <b val="1"/>
      <sz val="12"/>
      <color indexed="9"/>
      <name val="Microsoft Yahei"/>
    </font>
    <font>
      <sz val="11"/>
      <color indexed="10"/>
      <name val="SimSun"/>
    </font>
    <font>
      <b val="1"/>
      <sz val="11"/>
      <color indexed="10"/>
      <name val="Microsoft Yahei"/>
    </font>
    <font>
      <b val="1"/>
      <sz val="12"/>
      <color indexed="8"/>
      <name val="Microsoft Yahei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3"/>
      </top>
      <bottom/>
      <diagonal/>
    </border>
    <border>
      <left/>
      <right/>
      <top style="thin">
        <color indexed="13"/>
      </top>
      <bottom style="thin">
        <color indexed="8"/>
      </bottom>
      <diagonal/>
    </border>
    <border>
      <left/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0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horizontal="center" vertical="center" wrapText="1"/>
    </xf>
    <xf numFmtId="49" fontId="3" fillId="5" borderId="1" applyNumberFormat="1" applyFont="1" applyFill="1" applyBorder="1" applyAlignment="1" applyProtection="0">
      <alignment horizontal="center" vertical="center" wrapText="1"/>
    </xf>
    <xf numFmtId="49" fontId="3" fillId="5" borderId="2" applyNumberFormat="1" applyFont="1" applyFill="1" applyBorder="1" applyAlignment="1" applyProtection="0">
      <alignment horizontal="center" vertical="center" wrapText="1"/>
    </xf>
    <xf numFmtId="49" fontId="4" fillId="6" borderId="3" applyNumberFormat="1" applyFont="1" applyFill="1" applyBorder="1" applyAlignment="1" applyProtection="0">
      <alignment horizontal="center" vertical="center" wrapText="1"/>
    </xf>
    <xf numFmtId="49" fontId="4" fillId="6" borderId="4" applyNumberFormat="1" applyFont="1" applyFill="1" applyBorder="1" applyAlignment="1" applyProtection="0">
      <alignment horizontal="center" vertical="center" wrapText="1"/>
    </xf>
    <xf numFmtId="49" fontId="5" borderId="1" applyNumberFormat="1" applyFont="1" applyFill="0" applyBorder="1" applyAlignment="1" applyProtection="0">
      <alignment horizontal="center" vertical="center"/>
    </xf>
    <xf numFmtId="0" fontId="0" borderId="1" applyNumberFormat="1" applyFont="1" applyFill="0" applyBorder="1" applyAlignment="1" applyProtection="0">
      <alignment horizontal="center" vertical="center"/>
    </xf>
    <xf numFmtId="9" fontId="0" fillId="7" borderId="1" applyNumberFormat="1" applyFont="1" applyFill="1" applyBorder="1" applyAlignment="1" applyProtection="0">
      <alignment horizontal="center" vertical="center"/>
    </xf>
    <xf numFmtId="59" fontId="0" borderId="1" applyNumberFormat="1" applyFont="1" applyFill="0" applyBorder="1" applyAlignment="1" applyProtection="0">
      <alignment horizontal="center" vertical="center"/>
    </xf>
    <xf numFmtId="60" fontId="0" fillId="7" borderId="1" applyNumberFormat="1" applyFont="1" applyFill="1" applyBorder="1" applyAlignment="1" applyProtection="0">
      <alignment horizontal="center" vertical="center"/>
    </xf>
    <xf numFmtId="60" fontId="0" borderId="1" applyNumberFormat="1" applyFont="1" applyFill="0" applyBorder="1" applyAlignment="1" applyProtection="0">
      <alignment horizontal="center" vertical="center"/>
    </xf>
    <xf numFmtId="59" fontId="0" fillId="7" borderId="1" applyNumberFormat="1" applyFont="1" applyFill="1" applyBorder="1" applyAlignment="1" applyProtection="0">
      <alignment horizontal="center" vertical="center"/>
    </xf>
    <xf numFmtId="10" fontId="0" borderId="1" applyNumberFormat="1" applyFont="1" applyFill="0" applyBorder="1" applyAlignment="1" applyProtection="0">
      <alignment horizontal="center" vertical="center"/>
    </xf>
    <xf numFmtId="9" fontId="0" borderId="5" applyNumberFormat="1" applyFont="1" applyFill="0" applyBorder="1" applyAlignment="1" applyProtection="0">
      <alignment horizontal="center" vertical="center"/>
    </xf>
    <xf numFmtId="0" fontId="0" fillId="4" borderId="1" applyNumberFormat="1" applyFont="1" applyFill="1" applyBorder="1" applyAlignment="1" applyProtection="0">
      <alignment horizontal="center" vertical="center"/>
    </xf>
    <xf numFmtId="9" fontId="0" borderId="1" applyNumberFormat="1" applyFont="1" applyFill="0" applyBorder="1" applyAlignment="1" applyProtection="0">
      <alignment horizontal="center" vertical="center"/>
    </xf>
    <xf numFmtId="10" fontId="0" fillId="4" borderId="1" applyNumberFormat="1" applyFont="1" applyFill="1" applyBorder="1" applyAlignment="1" applyProtection="0">
      <alignment horizontal="center" vertical="center"/>
    </xf>
    <xf numFmtId="10" fontId="0" fillId="7" borderId="1" applyNumberFormat="1" applyFont="1" applyFill="1" applyBorder="1" applyAlignment="1" applyProtection="0">
      <alignment horizontal="center" vertical="center"/>
    </xf>
    <xf numFmtId="60" fontId="0" fillId="4" borderId="1" applyNumberFormat="1" applyFont="1" applyFill="1" applyBorder="1" applyAlignment="1" applyProtection="0">
      <alignment horizontal="center" vertical="center"/>
    </xf>
    <xf numFmtId="59" fontId="0" fillId="4" borderId="1" applyNumberFormat="1" applyFont="1" applyFill="1" applyBorder="1" applyAlignment="1" applyProtection="0">
      <alignment horizontal="center" vertical="center"/>
    </xf>
    <xf numFmtId="0" fontId="0" fillId="7" borderId="1" applyNumberFormat="1" applyFont="1" applyFill="1" applyBorder="1" applyAlignment="1" applyProtection="0">
      <alignment horizontal="center" vertical="center"/>
    </xf>
    <xf numFmtId="9" fontId="0" fillId="4" borderId="1" applyNumberFormat="1" applyFont="1" applyFill="1" applyBorder="1" applyAlignment="1" applyProtection="0">
      <alignment horizontal="center" vertical="center"/>
    </xf>
    <xf numFmtId="49" fontId="5" fillId="8" borderId="1" applyNumberFormat="1" applyFont="1" applyFill="1" applyBorder="1" applyAlignment="1" applyProtection="0">
      <alignment horizontal="center" vertical="center"/>
    </xf>
    <xf numFmtId="59" fontId="0" fillId="8" borderId="1" applyNumberFormat="1" applyFont="1" applyFill="1" applyBorder="1" applyAlignment="1" applyProtection="0">
      <alignment horizontal="center" vertical="center"/>
    </xf>
    <xf numFmtId="0" fontId="0" borderId="6" applyNumberFormat="0" applyFont="1" applyFill="0" applyBorder="1" applyAlignment="1" applyProtection="0">
      <alignment vertical="center"/>
    </xf>
    <xf numFmtId="59" fontId="0" borderId="6" applyNumberFormat="1" applyFont="1" applyFill="0" applyBorder="1" applyAlignment="1" applyProtection="0">
      <alignment vertical="center"/>
    </xf>
    <xf numFmtId="10" fontId="0" borderId="6" applyNumberFormat="1" applyFont="1" applyFill="0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center"/>
    </xf>
    <xf numFmtId="0" fontId="0" borderId="8" applyNumberFormat="0" applyFont="1" applyFill="0" applyBorder="1" applyAlignment="1" applyProtection="0">
      <alignment vertical="center"/>
    </xf>
    <xf numFmtId="0" fontId="0" borderId="9" applyNumberFormat="0" applyFont="1" applyFill="0" applyBorder="1" applyAlignment="1" applyProtection="0">
      <alignment vertical="center"/>
    </xf>
    <xf numFmtId="0" fontId="0" borderId="10" applyNumberFormat="0" applyFont="1" applyFill="0" applyBorder="1" applyAlignment="1" applyProtection="0">
      <alignment vertical="center"/>
    </xf>
    <xf numFmtId="0" fontId="0" borderId="11" applyNumberFormat="0" applyFont="1" applyFill="0" applyBorder="1" applyAlignment="1" applyProtection="0">
      <alignment vertical="center"/>
    </xf>
    <xf numFmtId="0" fontId="0" borderId="12" applyNumberFormat="0" applyFont="1" applyFill="0" applyBorder="1" applyAlignment="1" applyProtection="0">
      <alignment vertical="center"/>
    </xf>
    <xf numFmtId="0" fontId="0" borderId="13" applyNumberFormat="0" applyFont="1" applyFill="0" applyBorder="1" applyAlignment="1" applyProtection="0">
      <alignment vertical="center"/>
    </xf>
    <xf numFmtId="0" fontId="0" borderId="14" applyNumberFormat="0" applyFont="1" applyFill="0" applyBorder="1" applyAlignment="1" applyProtection="0">
      <alignment vertical="center"/>
    </xf>
    <xf numFmtId="0" fontId="0" borderId="15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0000"/>
      <rgbColor rgb="ffffffff"/>
      <rgbColor rgb="ff335593"/>
      <rgbColor rgb="ff385623"/>
      <rgbColor rgb="ffaaaaaa"/>
      <rgbColor rgb="ff0070c0"/>
      <rgbColor rgb="ff92d050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SimSun"/>
            <a:ea typeface="SimSun"/>
            <a:cs typeface="SimSun"/>
            <a:sym typeface="SimSun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SimSun"/>
            <a:ea typeface="SimSun"/>
            <a:cs typeface="SimSun"/>
            <a:sym typeface="SimSun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000"/>
  <sheetViews>
    <sheetView workbookViewId="0" showGridLines="0" defaultGridColor="1"/>
  </sheetViews>
  <sheetFormatPr defaultColWidth="12.6667" defaultRowHeight="15" customHeight="1" outlineLevelRow="0" outlineLevelCol="0"/>
  <cols>
    <col min="1" max="1" width="19" style="1" customWidth="1"/>
    <col min="2" max="2" width="12.5" style="1" customWidth="1"/>
    <col min="3" max="3" width="13.8516" style="1" customWidth="1"/>
    <col min="4" max="4" width="22.3516" style="1" customWidth="1"/>
    <col min="5" max="5" width="13" style="1" customWidth="1"/>
    <col min="6" max="6" width="13.5" style="1" customWidth="1"/>
    <col min="7" max="7" width="22.8516" style="1" customWidth="1"/>
    <col min="8" max="8" width="18.3516" style="1" customWidth="1"/>
    <col min="9" max="9" width="16.3516" style="1" customWidth="1"/>
    <col min="10" max="10" width="17" style="1" customWidth="1"/>
    <col min="11" max="11" width="22" style="1" customWidth="1"/>
    <col min="12" max="12" width="16.3516" style="1" customWidth="1"/>
    <col min="13" max="13" width="24.3516" style="1" customWidth="1"/>
    <col min="14" max="14" width="21.6719" style="1" customWidth="1"/>
    <col min="15" max="15" width="18" style="1" customWidth="1"/>
    <col min="16" max="16" width="17.3516" style="1" customWidth="1"/>
    <col min="17" max="17" width="16" style="1" customWidth="1"/>
    <col min="18" max="18" width="17.3516" style="1" customWidth="1"/>
    <col min="19" max="19" width="15.3516" style="1" customWidth="1"/>
    <col min="20" max="21" width="19.6719" style="1" customWidth="1"/>
    <col min="22" max="22" width="21.3516" style="1" customWidth="1"/>
    <col min="23" max="23" width="17.8516" style="1" customWidth="1"/>
    <col min="24" max="24" width="15.3516" style="1" customWidth="1"/>
    <col min="25" max="25" width="22.3516" style="1" customWidth="1"/>
    <col min="26" max="16384" width="12.6719" style="1" customWidth="1"/>
  </cols>
  <sheetData>
    <row r="1" ht="57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4">
        <v>10</v>
      </c>
      <c r="L1" t="s" s="4">
        <v>11</v>
      </c>
      <c r="M1" t="s" s="3">
        <v>6</v>
      </c>
      <c r="N1" t="s" s="4">
        <v>12</v>
      </c>
      <c r="O1" t="s" s="4">
        <v>13</v>
      </c>
      <c r="P1" t="s" s="4">
        <v>14</v>
      </c>
      <c r="Q1" t="s" s="5">
        <v>15</v>
      </c>
      <c r="R1" t="s" s="5">
        <v>16</v>
      </c>
      <c r="S1" t="s" s="6">
        <v>17</v>
      </c>
      <c r="T1" t="s" s="7">
        <v>18</v>
      </c>
      <c r="U1" t="s" s="7">
        <v>19</v>
      </c>
      <c r="V1" t="s" s="7">
        <v>20</v>
      </c>
      <c r="W1" t="s" s="7">
        <v>21</v>
      </c>
      <c r="X1" t="s" s="7">
        <v>22</v>
      </c>
      <c r="Y1" t="s" s="8">
        <v>23</v>
      </c>
    </row>
    <row r="2" ht="17.25" customHeight="1">
      <c r="A2" t="s" s="9">
        <v>24</v>
      </c>
      <c r="B2" s="10">
        <v>11</v>
      </c>
      <c r="C2" s="10">
        <v>1984</v>
      </c>
      <c r="D2" s="10">
        <v>91</v>
      </c>
      <c r="E2" s="10">
        <v>988</v>
      </c>
      <c r="F2" s="11" cm="1">
        <f t="array" ref="F2">E2/C2</f>
        <v>0.497983870967742</v>
      </c>
      <c r="G2" s="12">
        <v>1543.309785958850</v>
      </c>
      <c r="H2" s="13" cm="1">
        <f t="array" ref="H2">G2/C2</f>
        <v>0.777877916309904</v>
      </c>
      <c r="I2" s="14" cm="1">
        <f t="array" ref="I2">G2/B2</f>
        <v>140.300889632623</v>
      </c>
      <c r="J2" s="15" cm="1">
        <f t="array" ref="J2">C2/B2</f>
        <v>180.363636363636</v>
      </c>
      <c r="K2" s="12">
        <v>1260.757397171190</v>
      </c>
      <c r="L2" s="12">
        <v>1790.757397171190</v>
      </c>
      <c r="M2" s="12" cm="1">
        <f t="array" ref="M2">G2</f>
        <v>1543.309785958850</v>
      </c>
      <c r="N2" s="12" cm="1">
        <f t="array" ref="N2">M2-K2</f>
        <v>282.552388787660</v>
      </c>
      <c r="O2" s="16" cm="1">
        <f t="array" ref="O2">N2/K2</f>
        <v>0.224113211171026</v>
      </c>
      <c r="P2" s="16" cm="1">
        <f t="array" ref="P2">(M2-K2)/(L2-K2)</f>
        <v>0.533117714693698</v>
      </c>
      <c r="Q2" s="10">
        <v>389</v>
      </c>
      <c r="R2" s="12">
        <v>9327.000000000009</v>
      </c>
      <c r="S2" s="17">
        <v>0.95</v>
      </c>
      <c r="T2" s="10">
        <v>9</v>
      </c>
      <c r="U2" s="10">
        <v>2</v>
      </c>
      <c r="V2" s="10">
        <v>0</v>
      </c>
      <c r="W2" s="10">
        <v>0</v>
      </c>
      <c r="X2" s="10">
        <v>6</v>
      </c>
      <c r="Y2" s="18">
        <v>209</v>
      </c>
    </row>
    <row r="3" ht="17.25" customHeight="1">
      <c r="A3" t="s" s="9">
        <v>25</v>
      </c>
      <c r="B3" s="10">
        <v>10</v>
      </c>
      <c r="C3" s="10">
        <v>1086</v>
      </c>
      <c r="D3" s="10">
        <v>316</v>
      </c>
      <c r="E3" s="10">
        <v>372</v>
      </c>
      <c r="F3" s="19" cm="1">
        <f t="array" ref="F3">E3/C3</f>
        <v>0.342541436464088</v>
      </c>
      <c r="G3" s="12">
        <v>1382.229916149980</v>
      </c>
      <c r="H3" s="14" cm="1">
        <f t="array" ref="H3">G3/C3</f>
        <v>1.27277156183239</v>
      </c>
      <c r="I3" s="14" cm="1">
        <f t="array" ref="I3">G3/B3</f>
        <v>138.222991614998</v>
      </c>
      <c r="J3" s="12" cm="1">
        <f t="array" ref="J3">C3/B3</f>
        <v>108.6</v>
      </c>
      <c r="K3" s="12">
        <v>1013.949850842120</v>
      </c>
      <c r="L3" s="12">
        <v>1452.949850842120</v>
      </c>
      <c r="M3" s="12" cm="1">
        <f t="array" ref="M3">G3</f>
        <v>1382.229916149980</v>
      </c>
      <c r="N3" s="12" cm="1">
        <f t="array" ref="N3">M3-K3</f>
        <v>368.280065307860</v>
      </c>
      <c r="O3" s="16" cm="1">
        <f t="array" ref="O3">N3/K3</f>
        <v>0.363213294032235</v>
      </c>
      <c r="P3" s="20" cm="1">
        <f t="array" ref="P3">(M3-K3)/(L3-K3)</f>
        <v>0.838906754687608</v>
      </c>
      <c r="Q3" s="10">
        <v>149</v>
      </c>
      <c r="R3" s="12">
        <v>3986.05</v>
      </c>
      <c r="S3" s="19">
        <v>0.49</v>
      </c>
      <c r="T3" s="10">
        <v>8</v>
      </c>
      <c r="U3" s="10">
        <v>4</v>
      </c>
      <c r="V3" s="10">
        <v>1</v>
      </c>
      <c r="W3" s="10">
        <v>0</v>
      </c>
      <c r="X3" s="10">
        <v>7</v>
      </c>
      <c r="Y3" s="18">
        <v>396.93</v>
      </c>
    </row>
    <row r="4" ht="17.25" customHeight="1">
      <c r="A4" t="s" s="9">
        <v>26</v>
      </c>
      <c r="B4" s="10">
        <v>10</v>
      </c>
      <c r="C4" s="10">
        <v>827</v>
      </c>
      <c r="D4" s="10">
        <v>237</v>
      </c>
      <c r="E4" s="10">
        <v>377</v>
      </c>
      <c r="F4" s="11" cm="1">
        <f t="array" ref="F4">E4/C4</f>
        <v>0.455864570737606</v>
      </c>
      <c r="G4" s="12">
        <v>1047.980509044050</v>
      </c>
      <c r="H4" s="14" cm="1">
        <f t="array" ref="H4">G4/C4</f>
        <v>1.26720738699401</v>
      </c>
      <c r="I4" s="14" cm="1">
        <f t="array" ref="I4">G4/B4</f>
        <v>104.798050904405</v>
      </c>
      <c r="J4" s="12" cm="1">
        <f t="array" ref="J4">C4/B4</f>
        <v>82.7</v>
      </c>
      <c r="K4" s="12">
        <v>601.028871893144</v>
      </c>
      <c r="L4" s="12">
        <v>1047.028871893150</v>
      </c>
      <c r="M4" s="12" cm="1">
        <f t="array" ref="M4">G4</f>
        <v>1047.980509044050</v>
      </c>
      <c r="N4" s="12" cm="1">
        <f t="array" ref="N4">M4-K4</f>
        <v>446.951637150906</v>
      </c>
      <c r="O4" s="20" cm="1">
        <f t="array" ref="O4">N4/K4</f>
        <v>0.743644204217811</v>
      </c>
      <c r="P4" s="20" cm="1">
        <f t="array" ref="P4">(M4-K4)/(L4-K4)</f>
        <v>1.00213371558498</v>
      </c>
      <c r="Q4" s="10">
        <v>191</v>
      </c>
      <c r="R4" s="12">
        <v>5968.77</v>
      </c>
      <c r="S4" s="19">
        <v>0.5</v>
      </c>
      <c r="T4" s="10">
        <v>7</v>
      </c>
      <c r="U4" s="10">
        <v>2</v>
      </c>
      <c r="V4" s="10">
        <v>2</v>
      </c>
      <c r="W4" s="10">
        <v>2</v>
      </c>
      <c r="X4" s="10">
        <v>11</v>
      </c>
      <c r="Y4" s="18">
        <v>329.64</v>
      </c>
    </row>
    <row r="5" ht="17.25" customHeight="1">
      <c r="A5" t="s" s="9">
        <v>27</v>
      </c>
      <c r="B5" s="10">
        <v>4</v>
      </c>
      <c r="C5" s="10">
        <v>336</v>
      </c>
      <c r="D5" s="10">
        <v>69</v>
      </c>
      <c r="E5" s="10">
        <v>118</v>
      </c>
      <c r="F5" s="19" cm="1">
        <f t="array" ref="F5">E5/C5</f>
        <v>0.351190476190476</v>
      </c>
      <c r="G5" s="12">
        <v>527.037462802503</v>
      </c>
      <c r="H5" s="14" cm="1">
        <f t="array" ref="H5">G5/C5</f>
        <v>1.5685638773884</v>
      </c>
      <c r="I5" s="14" cm="1">
        <f t="array" ref="I5">G5/B5</f>
        <v>131.759365700626</v>
      </c>
      <c r="J5" s="12" cm="1">
        <f t="array" ref="J5">C5/B5</f>
        <v>84</v>
      </c>
      <c r="K5" s="12">
        <v>351.716774020431</v>
      </c>
      <c r="L5" s="12">
        <v>670.716774020431</v>
      </c>
      <c r="M5" s="12" cm="1">
        <f t="array" ref="M5">G5</f>
        <v>527.037462802503</v>
      </c>
      <c r="N5" s="12" cm="1">
        <f t="array" ref="N5">M5-K5</f>
        <v>175.320688782072</v>
      </c>
      <c r="O5" s="20" cm="1">
        <f t="array" ref="O5">N5/K5</f>
        <v>0.498471218128163</v>
      </c>
      <c r="P5" s="16" cm="1">
        <f t="array" ref="P5">(M5-K5)/(L5-K5)</f>
        <v>0.549594635680476</v>
      </c>
      <c r="Q5" s="10">
        <v>122</v>
      </c>
      <c r="R5" s="12">
        <v>8152</v>
      </c>
      <c r="S5" s="19">
        <v>1.37</v>
      </c>
      <c r="T5" s="10">
        <v>4</v>
      </c>
      <c r="U5" s="10">
        <v>3</v>
      </c>
      <c r="V5" s="10">
        <v>1</v>
      </c>
      <c r="W5" s="10">
        <v>2</v>
      </c>
      <c r="X5" s="10">
        <v>2</v>
      </c>
      <c r="Y5" s="18">
        <v>464.06</v>
      </c>
    </row>
    <row r="6" ht="17.25" customHeight="1">
      <c r="A6" t="s" s="9">
        <v>28</v>
      </c>
      <c r="B6" s="10">
        <v>4</v>
      </c>
      <c r="C6" s="10">
        <v>538</v>
      </c>
      <c r="D6" s="10">
        <v>180</v>
      </c>
      <c r="E6" s="10">
        <v>290</v>
      </c>
      <c r="F6" s="11" cm="1">
        <f t="array" ref="F6">E6/C6</f>
        <v>0.539033457249071</v>
      </c>
      <c r="G6" s="12">
        <v>287.410341473558</v>
      </c>
      <c r="H6" s="13" cm="1">
        <f t="array" ref="H6">G6/C6</f>
        <v>0.534219965564234</v>
      </c>
      <c r="I6" s="13" cm="1">
        <f t="array" ref="I6">G6/B6</f>
        <v>71.8525853683895</v>
      </c>
      <c r="J6" s="12" cm="1">
        <f t="array" ref="J6">C6/B6</f>
        <v>134.5</v>
      </c>
      <c r="K6" s="12">
        <v>221.549152072507</v>
      </c>
      <c r="L6" s="12">
        <v>541.549152072507</v>
      </c>
      <c r="M6" s="12" cm="1">
        <f t="array" ref="M6">G6</f>
        <v>287.410341473558</v>
      </c>
      <c r="N6" s="12" cm="1">
        <f t="array" ref="N6">M6-K6</f>
        <v>65.86118940105101</v>
      </c>
      <c r="O6" s="16" cm="1">
        <f t="array" ref="O6">N6/K6</f>
        <v>0.297275745742852</v>
      </c>
      <c r="P6" s="21" cm="1">
        <f t="array" ref="P6">(M6-K6)/(L6-K6)</f>
        <v>0.205816216878284</v>
      </c>
      <c r="Q6" s="10">
        <v>97</v>
      </c>
      <c r="R6" s="12">
        <v>2053.37</v>
      </c>
      <c r="S6" s="19">
        <v>0.34</v>
      </c>
      <c r="T6" s="10">
        <v>1</v>
      </c>
      <c r="U6" s="10">
        <v>1</v>
      </c>
      <c r="V6" s="10">
        <v>0</v>
      </c>
      <c r="W6" s="10">
        <v>0</v>
      </c>
      <c r="X6" s="10">
        <v>2</v>
      </c>
      <c r="Y6" s="10">
        <v>95</v>
      </c>
    </row>
    <row r="7" ht="17.25" customHeight="1">
      <c r="A7" t="s" s="9">
        <v>29</v>
      </c>
      <c r="B7" s="10">
        <v>23</v>
      </c>
      <c r="C7" s="10">
        <v>4517</v>
      </c>
      <c r="D7" s="10">
        <v>223</v>
      </c>
      <c r="E7" s="10">
        <v>1136</v>
      </c>
      <c r="F7" s="19" cm="1">
        <f t="array" ref="F7">E7/C7</f>
        <v>0.251494354660173</v>
      </c>
      <c r="G7" s="12">
        <v>5469.694169304530</v>
      </c>
      <c r="H7" s="14" cm="1">
        <f t="array" ref="H7">G7/C7</f>
        <v>1.21091303283253</v>
      </c>
      <c r="I7" s="22" cm="1">
        <f t="array" ref="I7">G7/B7</f>
        <v>237.812789969762</v>
      </c>
      <c r="J7" s="15" cm="1">
        <f t="array" ref="J7">C7/B7</f>
        <v>196.391304347826</v>
      </c>
      <c r="K7" s="12">
        <v>4352.3667733627</v>
      </c>
      <c r="L7" s="12">
        <v>5087.162193596960</v>
      </c>
      <c r="M7" s="12" cm="1">
        <f t="array" ref="M7">G7</f>
        <v>5469.694169304530</v>
      </c>
      <c r="N7" s="12" cm="1">
        <f t="array" ref="N7">M7-K7</f>
        <v>1117.327395941830</v>
      </c>
      <c r="O7" s="16" cm="1">
        <f t="array" ref="O7">N7/K7</f>
        <v>0.256717196441275</v>
      </c>
      <c r="P7" s="20" cm="1">
        <f t="array" ref="P7">(M7-K7)/(L7-K7)</f>
        <v>1.52059657038365</v>
      </c>
      <c r="Q7" s="10">
        <v>850</v>
      </c>
      <c r="R7" s="12">
        <v>18920.76</v>
      </c>
      <c r="S7" s="19">
        <v>1.38</v>
      </c>
      <c r="T7" s="10">
        <v>6</v>
      </c>
      <c r="U7" s="10">
        <v>1</v>
      </c>
      <c r="V7" s="10">
        <v>0</v>
      </c>
      <c r="W7" s="10">
        <v>0</v>
      </c>
      <c r="X7" s="10">
        <v>8</v>
      </c>
      <c r="Y7" s="10">
        <v>204.84</v>
      </c>
    </row>
    <row r="8" ht="17.25" customHeight="1">
      <c r="A8" t="s" s="9">
        <v>30</v>
      </c>
      <c r="B8" s="10">
        <v>5</v>
      </c>
      <c r="C8" s="10">
        <v>381</v>
      </c>
      <c r="D8" s="10">
        <v>107</v>
      </c>
      <c r="E8" s="10">
        <v>147</v>
      </c>
      <c r="F8" s="19" cm="1">
        <f t="array" ref="F8">E8/C8</f>
        <v>0.385826771653543</v>
      </c>
      <c r="G8" s="12">
        <v>836.999506766538</v>
      </c>
      <c r="H8" s="22" cm="1">
        <f t="array" ref="H8">G8/C8</f>
        <v>2.19684909912477</v>
      </c>
      <c r="I8" s="14" cm="1">
        <f t="array" ref="I8">G8/B8</f>
        <v>167.399901353308</v>
      </c>
      <c r="J8" s="23" cm="1">
        <f t="array" ref="J8">C8/B8</f>
        <v>76.2</v>
      </c>
      <c r="K8" s="12">
        <v>626.838917964517</v>
      </c>
      <c r="L8" s="12">
        <v>949.838917964517</v>
      </c>
      <c r="M8" s="12" cm="1">
        <f t="array" ref="M8">G8</f>
        <v>836.999506766538</v>
      </c>
      <c r="N8" s="12" cm="1">
        <f t="array" ref="N8">M8-K8</f>
        <v>210.160588802021</v>
      </c>
      <c r="O8" s="16" cm="1">
        <f t="array" ref="O8">N8/K8</f>
        <v>0.335270486211128</v>
      </c>
      <c r="P8" s="16" cm="1">
        <f t="array" ref="P8">(M8-K8)/(L8-K8)</f>
        <v>0.650651977715235</v>
      </c>
      <c r="Q8" s="10">
        <v>85</v>
      </c>
      <c r="R8" s="12">
        <v>5411</v>
      </c>
      <c r="S8" s="19">
        <v>0.9</v>
      </c>
      <c r="T8" s="10">
        <v>0</v>
      </c>
      <c r="U8" s="10">
        <v>0</v>
      </c>
      <c r="V8" s="10">
        <v>0</v>
      </c>
      <c r="W8" s="10">
        <v>0</v>
      </c>
      <c r="X8" s="10">
        <v>1</v>
      </c>
      <c r="Y8" s="24">
        <v>0</v>
      </c>
    </row>
    <row r="9" ht="17.25" customHeight="1">
      <c r="A9" t="s" s="9">
        <v>31</v>
      </c>
      <c r="B9" s="10">
        <v>11</v>
      </c>
      <c r="C9" s="10">
        <v>1040</v>
      </c>
      <c r="D9" s="10">
        <v>105</v>
      </c>
      <c r="E9" s="10">
        <v>57</v>
      </c>
      <c r="F9" s="25" cm="1">
        <f t="array" ref="F9">E9/C9</f>
        <v>0.0548076923076923</v>
      </c>
      <c r="G9" s="12">
        <v>3874.168323460790</v>
      </c>
      <c r="H9" s="22" cm="1">
        <f t="array" ref="H9">G9/C9</f>
        <v>3.72516184948153</v>
      </c>
      <c r="I9" s="22" cm="1">
        <f t="array" ref="I9">G9/B9</f>
        <v>352.197120314617</v>
      </c>
      <c r="J9" s="12" cm="1">
        <f t="array" ref="J9">C9/B9</f>
        <v>94.5454545454545</v>
      </c>
      <c r="K9" s="12">
        <v>3523.177578088140</v>
      </c>
      <c r="L9" s="12">
        <v>4092.177578088140</v>
      </c>
      <c r="M9" s="12" cm="1">
        <f t="array" ref="M9">G9</f>
        <v>3874.168323460790</v>
      </c>
      <c r="N9" s="12" cm="1">
        <f t="array" ref="N9">M9-K9</f>
        <v>350.990745372650</v>
      </c>
      <c r="O9" s="21" cm="1">
        <f t="array" ref="O9">N9/K9</f>
        <v>0.0996233478424655</v>
      </c>
      <c r="P9" s="16" cm="1">
        <f t="array" ref="P9">(M9-K9)/(L9-K9)</f>
        <v>0.616855440022232</v>
      </c>
      <c r="Q9" s="10">
        <v>610</v>
      </c>
      <c r="R9" s="12">
        <v>18591.43</v>
      </c>
      <c r="S9" s="19">
        <v>1.67</v>
      </c>
      <c r="T9" s="10">
        <v>4</v>
      </c>
      <c r="U9" s="10">
        <v>3</v>
      </c>
      <c r="V9" s="10">
        <v>1</v>
      </c>
      <c r="W9" s="10">
        <v>1</v>
      </c>
      <c r="X9" s="10">
        <v>7</v>
      </c>
      <c r="Y9" s="18">
        <v>524</v>
      </c>
    </row>
    <row r="10" ht="17.25" customHeight="1">
      <c r="A10" t="s" s="26">
        <v>32</v>
      </c>
      <c r="B10" s="10">
        <v>6</v>
      </c>
      <c r="C10" s="10">
        <v>777</v>
      </c>
      <c r="D10" s="10">
        <v>239</v>
      </c>
      <c r="E10" s="10">
        <v>157</v>
      </c>
      <c r="F10" s="25" cm="1">
        <f t="array" ref="F10">E10/C10</f>
        <v>0.202059202059202</v>
      </c>
      <c r="G10" s="27">
        <v>923.425841660864</v>
      </c>
      <c r="H10" s="14" cm="1">
        <f t="array" ref="H10">G10/C10</f>
        <v>1.18845024666778</v>
      </c>
      <c r="I10" s="14" cm="1">
        <f t="array" ref="I10">G10/B10</f>
        <v>153.904306943477</v>
      </c>
      <c r="J10" s="12" cm="1">
        <f t="array" ref="J10">C10/B10</f>
        <v>129.5</v>
      </c>
      <c r="K10" s="12">
        <v>689.915106898711</v>
      </c>
      <c r="L10" s="12">
        <v>1193.915106898710</v>
      </c>
      <c r="M10" s="12" cm="1">
        <f t="array" ref="M10">G10</f>
        <v>923.425841660864</v>
      </c>
      <c r="N10" s="12" cm="1">
        <f t="array" ref="N10">M10-K10</f>
        <v>233.510734762153</v>
      </c>
      <c r="O10" s="21" cm="1">
        <f t="array" ref="O10">N10/K10</f>
        <v>0.338462997008175</v>
      </c>
      <c r="P10" s="16" cm="1">
        <f t="array" ref="P10">(M10-K10)/(L10-K10)</f>
        <v>0.463314949924908</v>
      </c>
      <c r="Q10" s="10">
        <v>280</v>
      </c>
      <c r="R10" s="12">
        <v>8642.629999999999</v>
      </c>
      <c r="S10" s="19">
        <v>0.92</v>
      </c>
      <c r="T10" s="10">
        <v>4</v>
      </c>
      <c r="U10" s="10">
        <v>1</v>
      </c>
      <c r="V10" s="10">
        <v>1</v>
      </c>
      <c r="W10" s="10">
        <v>1</v>
      </c>
      <c r="X10" s="10">
        <v>3</v>
      </c>
      <c r="Y10" s="10">
        <v>187.2</v>
      </c>
    </row>
    <row r="11" ht="17.25" customHeight="1">
      <c r="A11" t="s" s="9">
        <v>33</v>
      </c>
      <c r="B11" s="10">
        <v>3</v>
      </c>
      <c r="C11" s="10">
        <v>167</v>
      </c>
      <c r="D11" s="10">
        <v>24</v>
      </c>
      <c r="E11" s="10">
        <v>35</v>
      </c>
      <c r="F11" s="25" cm="1">
        <f t="array" ref="F11">E11/C11</f>
        <v>0.209580838323353</v>
      </c>
      <c r="G11" s="12">
        <v>294.399734553269</v>
      </c>
      <c r="H11" s="14" cm="1">
        <f t="array" ref="H11">G11/C11</f>
        <v>1.76287266199562</v>
      </c>
      <c r="I11" s="13" cm="1">
        <f t="array" ref="I11">G11/B11</f>
        <v>98.1332448510897</v>
      </c>
      <c r="J11" s="23" cm="1">
        <f t="array" ref="J11">C11/B11</f>
        <v>55.6666666666667</v>
      </c>
      <c r="K11" s="12">
        <v>402.814125828602</v>
      </c>
      <c r="L11" s="12">
        <v>728.814125828602</v>
      </c>
      <c r="M11" s="12" cm="1">
        <f t="array" ref="M11">G11</f>
        <v>294.399734553269</v>
      </c>
      <c r="N11" s="12" cm="1">
        <f t="array" ref="N11">M11-K11</f>
        <v>-108.414391275333</v>
      </c>
      <c r="O11" s="21" cm="1">
        <f t="array" ref="O11">N11/K11</f>
        <v>-0.269142476203686</v>
      </c>
      <c r="P11" s="21" cm="1">
        <f t="array" ref="P11">(M11-K11)/(L11-K11)</f>
        <v>-0.332559482439672</v>
      </c>
      <c r="Q11" s="10">
        <v>138</v>
      </c>
      <c r="R11" s="12">
        <v>7876.05</v>
      </c>
      <c r="S11" s="19">
        <v>1.16</v>
      </c>
      <c r="T11" s="10">
        <v>0</v>
      </c>
      <c r="U11" s="10">
        <v>0</v>
      </c>
      <c r="V11" s="10">
        <v>0</v>
      </c>
      <c r="W11" s="10">
        <v>0</v>
      </c>
      <c r="X11" s="10">
        <v>1</v>
      </c>
      <c r="Y11" s="24">
        <v>0</v>
      </c>
    </row>
    <row r="12" ht="17.25" customHeight="1">
      <c r="A12" t="s" s="26">
        <v>34</v>
      </c>
      <c r="B12" s="10">
        <v>10</v>
      </c>
      <c r="C12" s="10">
        <v>1793</v>
      </c>
      <c r="D12" s="10">
        <v>456</v>
      </c>
      <c r="E12" s="10">
        <v>1002</v>
      </c>
      <c r="F12" s="11" cm="1">
        <f t="array" ref="F12">E12/C12</f>
        <v>0.558839933073062</v>
      </c>
      <c r="G12" s="27">
        <v>1349.5873866257</v>
      </c>
      <c r="H12" s="13" cm="1">
        <f t="array" ref="H12">G12/C12</f>
        <v>0.752697928960234</v>
      </c>
      <c r="I12" s="14" cm="1">
        <f t="array" ref="I12">G12/B12</f>
        <v>134.958738662570</v>
      </c>
      <c r="J12" s="15" cm="1">
        <f t="array" ref="J12">C12/B12</f>
        <v>179.3</v>
      </c>
      <c r="K12" s="12">
        <v>1047.803557573580</v>
      </c>
      <c r="L12" s="12">
        <v>1712.803557573580</v>
      </c>
      <c r="M12" s="12" cm="1">
        <f t="array" ref="M12">G12</f>
        <v>1349.5873866257</v>
      </c>
      <c r="N12" s="12" cm="1">
        <f t="array" ref="N12">M12-K12</f>
        <v>301.783829052120</v>
      </c>
      <c r="O12" s="16" cm="1">
        <f t="array" ref="O12">N12/K12</f>
        <v>0.288015656055766</v>
      </c>
      <c r="P12" s="21" cm="1">
        <f t="array" ref="P12">(M12-K12)/(L12-K12)</f>
        <v>0.453810269251308</v>
      </c>
      <c r="Q12" s="10">
        <v>274</v>
      </c>
      <c r="R12" s="12">
        <v>9499.9</v>
      </c>
      <c r="S12" s="19">
        <v>0.77</v>
      </c>
      <c r="T12" s="10">
        <v>7</v>
      </c>
      <c r="U12" s="10">
        <v>1</v>
      </c>
      <c r="V12" s="10">
        <v>0</v>
      </c>
      <c r="W12" s="10">
        <v>0</v>
      </c>
      <c r="X12" s="10">
        <v>2</v>
      </c>
      <c r="Y12" s="10">
        <v>103</v>
      </c>
    </row>
    <row r="13" ht="17.25" customHeight="1">
      <c r="A13" t="s" s="9">
        <v>35</v>
      </c>
      <c r="B13" s="10">
        <v>12</v>
      </c>
      <c r="C13" s="10">
        <v>2469</v>
      </c>
      <c r="D13" s="10">
        <v>264</v>
      </c>
      <c r="E13" s="10">
        <v>1675</v>
      </c>
      <c r="F13" s="11" cm="1">
        <f t="array" ref="F13">E13/C13</f>
        <v>0.678412312677197</v>
      </c>
      <c r="G13" s="12">
        <v>1221.301934020910</v>
      </c>
      <c r="H13" s="13" cm="1">
        <f t="array" ref="H13">G13/C13</f>
        <v>0.494654489275379</v>
      </c>
      <c r="I13" s="14" cm="1">
        <f t="array" ref="I13">G13/B13</f>
        <v>101.775161168409</v>
      </c>
      <c r="J13" s="15" cm="1">
        <f t="array" ref="J13">C13/B13</f>
        <v>205.75</v>
      </c>
      <c r="K13" s="12">
        <v>824.857200178392</v>
      </c>
      <c r="L13" s="12">
        <v>1304.857200178390</v>
      </c>
      <c r="M13" s="12" cm="1">
        <f t="array" ref="M13">G13</f>
        <v>1221.301934020910</v>
      </c>
      <c r="N13" s="12" cm="1">
        <f t="array" ref="N13">M13-K13</f>
        <v>396.444733842518</v>
      </c>
      <c r="O13" s="20" cm="1">
        <f t="array" ref="O13">N13/K13</f>
        <v>0.480622262564695</v>
      </c>
      <c r="P13" s="20" cm="1">
        <f t="array" ref="P13">(M13-K13)/(L13-K13)</f>
        <v>0.825926528838583</v>
      </c>
      <c r="Q13" s="10">
        <v>59</v>
      </c>
      <c r="R13" s="12">
        <v>9510.389999999999</v>
      </c>
      <c r="S13" s="19">
        <v>1.07</v>
      </c>
      <c r="T13" s="10">
        <v>1</v>
      </c>
      <c r="U13" s="10">
        <v>0</v>
      </c>
      <c r="V13" s="10">
        <v>1</v>
      </c>
      <c r="W13" s="10">
        <v>1</v>
      </c>
      <c r="X13" s="10">
        <v>5</v>
      </c>
      <c r="Y13" s="18">
        <v>792</v>
      </c>
    </row>
    <row r="14" ht="17.25" customHeight="1">
      <c r="A14" t="s" s="9">
        <v>36</v>
      </c>
      <c r="B14" s="10">
        <v>16</v>
      </c>
      <c r="C14" s="10">
        <v>1862</v>
      </c>
      <c r="D14" s="10">
        <v>521</v>
      </c>
      <c r="E14" s="10">
        <v>700</v>
      </c>
      <c r="F14" s="19" cm="1">
        <f t="array" ref="F14">E14/C14</f>
        <v>0.37593984962406</v>
      </c>
      <c r="G14" s="12">
        <v>2362.805748651310</v>
      </c>
      <c r="H14" s="14" cm="1">
        <f t="array" ref="H14">G14/C14</f>
        <v>1.26896119691263</v>
      </c>
      <c r="I14" s="14" cm="1">
        <f t="array" ref="I14">G14/B14</f>
        <v>147.675359290707</v>
      </c>
      <c r="J14" s="12" cm="1">
        <f t="array" ref="J14">C14/B14</f>
        <v>116.375</v>
      </c>
      <c r="K14" s="12">
        <v>2215.26</v>
      </c>
      <c r="L14" s="12">
        <v>3245.26</v>
      </c>
      <c r="M14" s="12" cm="1">
        <f t="array" ref="M14">G14</f>
        <v>2362.805748651310</v>
      </c>
      <c r="N14" s="12" cm="1">
        <f t="array" ref="N14">M14-K14</f>
        <v>147.545748651310</v>
      </c>
      <c r="O14" s="21" cm="1">
        <f t="array" ref="O14">N14/K14</f>
        <v>0.0666042580335085</v>
      </c>
      <c r="P14" s="21" cm="1">
        <f t="array" ref="P14">(M14-K14)/(L14-K14)</f>
        <v>0.143248299661466</v>
      </c>
      <c r="Q14" s="10">
        <v>335</v>
      </c>
      <c r="R14" s="12">
        <v>14335.47</v>
      </c>
      <c r="S14" s="19">
        <v>0.75</v>
      </c>
      <c r="T14" s="10">
        <v>1</v>
      </c>
      <c r="U14" s="10">
        <v>1</v>
      </c>
      <c r="V14" s="10">
        <v>1</v>
      </c>
      <c r="W14" s="10">
        <v>0</v>
      </c>
      <c r="X14" s="10">
        <v>19</v>
      </c>
      <c r="Y14" s="10">
        <v>155.9</v>
      </c>
    </row>
    <row r="15" ht="17.25" customHeight="1">
      <c r="A15" t="s" s="9">
        <v>37</v>
      </c>
      <c r="B15" s="10">
        <v>8</v>
      </c>
      <c r="C15" s="10">
        <v>518</v>
      </c>
      <c r="D15" s="10">
        <v>130</v>
      </c>
      <c r="E15" s="10">
        <v>65</v>
      </c>
      <c r="F15" s="25" cm="1">
        <f t="array" ref="F15">E15/C15</f>
        <v>0.125482625482625</v>
      </c>
      <c r="G15" s="12">
        <v>797.1637074630499</v>
      </c>
      <c r="H15" s="14" cm="1">
        <f t="array" ref="H15">G15/C15</f>
        <v>1.53892607618349</v>
      </c>
      <c r="I15" s="13" cm="1">
        <f t="array" ref="I15">G15/B15</f>
        <v>99.6454634328813</v>
      </c>
      <c r="J15" s="23" cm="1">
        <f t="array" ref="J15">C15/B15</f>
        <v>64.75</v>
      </c>
      <c r="K15" s="12">
        <v>485.545037712972</v>
      </c>
      <c r="L15" s="12">
        <v>804.545037712972</v>
      </c>
      <c r="M15" s="12" cm="1">
        <f t="array" ref="M15">G15</f>
        <v>797.1637074630499</v>
      </c>
      <c r="N15" s="12" cm="1">
        <f t="array" ref="N15">M15-K15</f>
        <v>311.618669750078</v>
      </c>
      <c r="O15" s="20" cm="1">
        <f t="array" ref="O15">N15/K15</f>
        <v>0.641791482861967</v>
      </c>
      <c r="P15" s="20" cm="1">
        <f t="array" ref="P15">(M15-K15)/(L15-K15)</f>
        <v>0.976861033699304</v>
      </c>
      <c r="Q15" s="10">
        <v>181</v>
      </c>
      <c r="R15" s="12">
        <v>8222.040000000001</v>
      </c>
      <c r="S15" s="19">
        <v>1.39</v>
      </c>
      <c r="T15" s="10">
        <v>2</v>
      </c>
      <c r="U15" s="10">
        <v>0</v>
      </c>
      <c r="V15" s="10">
        <v>1</v>
      </c>
      <c r="W15" s="10">
        <v>1</v>
      </c>
      <c r="X15" s="10">
        <v>3</v>
      </c>
      <c r="Y15" s="10">
        <v>0</v>
      </c>
    </row>
    <row r="16" ht="17.25" customHeight="1">
      <c r="A16" t="s" s="9">
        <v>38</v>
      </c>
      <c r="B16" s="10">
        <v>4</v>
      </c>
      <c r="C16" s="10">
        <v>350</v>
      </c>
      <c r="D16" s="10">
        <v>64</v>
      </c>
      <c r="E16" s="10">
        <v>105</v>
      </c>
      <c r="F16" s="19" cm="1">
        <f t="array" ref="F16">E16/C16</f>
        <v>0.3</v>
      </c>
      <c r="G16" s="12">
        <v>670.462051601849</v>
      </c>
      <c r="H16" s="14" cm="1">
        <f t="array" ref="H16">G16/C16</f>
        <v>1.91560586171957</v>
      </c>
      <c r="I16" s="14" cm="1">
        <f t="array" ref="I16">G16/B16</f>
        <v>167.615512900462</v>
      </c>
      <c r="J16" s="12" cm="1">
        <f t="array" ref="J16">C16/B16</f>
        <v>87.5</v>
      </c>
      <c r="K16" s="12">
        <v>461.968565414507</v>
      </c>
      <c r="L16" s="12">
        <v>836.968565414507</v>
      </c>
      <c r="M16" s="12" cm="1">
        <f t="array" ref="M16">G16</f>
        <v>670.462051601849</v>
      </c>
      <c r="N16" s="12" cm="1">
        <f t="array" ref="N16">M16-K16</f>
        <v>208.493486187342</v>
      </c>
      <c r="O16" s="16" cm="1">
        <f t="array" ref="O16">N16/K16</f>
        <v>0.451315309733831</v>
      </c>
      <c r="P16" s="16" cm="1">
        <f t="array" ref="P16">(M16-K16)/(L16-K16)</f>
        <v>0.555982629832912</v>
      </c>
      <c r="Q16" s="10">
        <v>181</v>
      </c>
      <c r="R16" s="12">
        <v>7838.08</v>
      </c>
      <c r="S16" s="19">
        <v>1.12</v>
      </c>
      <c r="T16" s="10">
        <v>2</v>
      </c>
      <c r="U16" s="10">
        <v>1</v>
      </c>
      <c r="V16" s="10">
        <v>0</v>
      </c>
      <c r="W16" s="10">
        <v>0</v>
      </c>
      <c r="X16" s="10">
        <v>3</v>
      </c>
      <c r="Y16" s="10">
        <v>100.6</v>
      </c>
    </row>
    <row r="17" ht="17.25" customHeight="1">
      <c r="A17" t="s" s="9">
        <v>39</v>
      </c>
      <c r="B17" s="10">
        <v>7</v>
      </c>
      <c r="C17" s="10">
        <v>835</v>
      </c>
      <c r="D17" s="10">
        <v>201</v>
      </c>
      <c r="E17" s="10">
        <v>165</v>
      </c>
      <c r="F17" s="25" cm="1">
        <f t="array" ref="F17">E17/C17</f>
        <v>0.197604790419162</v>
      </c>
      <c r="G17" s="12">
        <v>1058.4933702468</v>
      </c>
      <c r="H17" s="14" cm="1">
        <f t="array" ref="H17">G17/C17</f>
        <v>1.26765673083449</v>
      </c>
      <c r="I17" s="14" cm="1">
        <f t="array" ref="I17">G17/B17</f>
        <v>151.213338606686</v>
      </c>
      <c r="J17" s="12" cm="1">
        <f t="array" ref="J17">C17/B17</f>
        <v>119.285714285714</v>
      </c>
      <c r="K17" s="12">
        <v>667.023245656527</v>
      </c>
      <c r="L17" s="12">
        <v>1105.023245656530</v>
      </c>
      <c r="M17" s="12" cm="1">
        <f t="array" ref="M17">G17</f>
        <v>1058.4933702468</v>
      </c>
      <c r="N17" s="12" cm="1">
        <f t="array" ref="N17">M17-K17</f>
        <v>391.470124590273</v>
      </c>
      <c r="O17" s="20" cm="1">
        <f t="array" ref="O17">N17/K17</f>
        <v>0.586891277237217</v>
      </c>
      <c r="P17" s="20" cm="1">
        <f t="array" ref="P17">(M17-K17)/(L17-K17)</f>
        <v>0.893767407740343</v>
      </c>
      <c r="Q17" s="10">
        <v>250</v>
      </c>
      <c r="R17" s="12">
        <v>4116.32</v>
      </c>
      <c r="S17" s="19">
        <v>0.38</v>
      </c>
      <c r="T17" s="10">
        <v>3</v>
      </c>
      <c r="U17" s="10">
        <v>5</v>
      </c>
      <c r="V17" s="10">
        <v>1</v>
      </c>
      <c r="W17" s="10">
        <v>0</v>
      </c>
      <c r="X17" s="10">
        <v>4</v>
      </c>
      <c r="Y17" s="18">
        <v>540.72</v>
      </c>
    </row>
    <row r="18" ht="17.25" customHeight="1">
      <c r="A18" t="s" s="9">
        <v>40</v>
      </c>
      <c r="B18" s="10">
        <v>20</v>
      </c>
      <c r="C18" s="10">
        <v>2876</v>
      </c>
      <c r="D18" s="10">
        <v>498</v>
      </c>
      <c r="E18" s="10">
        <v>974</v>
      </c>
      <c r="F18" s="19" cm="1">
        <f t="array" ref="F18">E18/C18</f>
        <v>0.338664812239221</v>
      </c>
      <c r="G18" s="12">
        <v>3498.032776355970</v>
      </c>
      <c r="H18" s="14" cm="1">
        <f t="array" ref="H18">G18/C18</f>
        <v>1.21628399734213</v>
      </c>
      <c r="I18" s="14" cm="1">
        <f t="array" ref="I18">G18/B18</f>
        <v>174.901638817799</v>
      </c>
      <c r="J18" s="12" cm="1">
        <f t="array" ref="J18">C18/B18</f>
        <v>143.8</v>
      </c>
      <c r="K18" s="12">
        <v>3368.627998294570</v>
      </c>
      <c r="L18" s="12">
        <v>4674.186106405040</v>
      </c>
      <c r="M18" s="12" cm="1">
        <f t="array" ref="M18">G18</f>
        <v>3498.032776355970</v>
      </c>
      <c r="N18" s="12" cm="1">
        <f t="array" ref="N18">M18-K18</f>
        <v>129.4047780614</v>
      </c>
      <c r="O18" s="21" cm="1">
        <f t="array" ref="O18">N18/K18</f>
        <v>0.0384146834043158</v>
      </c>
      <c r="P18" s="21" cm="1">
        <f t="array" ref="P18">(M18-K18)/(L18-K18)</f>
        <v>0.0991183596176252</v>
      </c>
      <c r="Q18" s="10">
        <v>927</v>
      </c>
      <c r="R18" s="12">
        <v>50217.41</v>
      </c>
      <c r="S18" s="19">
        <v>2.07</v>
      </c>
      <c r="T18" s="10">
        <v>13</v>
      </c>
      <c r="U18" s="10">
        <v>1</v>
      </c>
      <c r="V18" s="10">
        <v>0</v>
      </c>
      <c r="W18" s="10">
        <v>0</v>
      </c>
      <c r="X18" s="10">
        <v>20</v>
      </c>
      <c r="Y18" s="10">
        <v>220</v>
      </c>
    </row>
    <row r="19" ht="17.25" customHeight="1">
      <c r="A19" t="s" s="9">
        <v>41</v>
      </c>
      <c r="B19" s="10">
        <v>4</v>
      </c>
      <c r="C19" s="10">
        <v>284</v>
      </c>
      <c r="D19" s="10">
        <v>49</v>
      </c>
      <c r="E19" s="10">
        <v>139</v>
      </c>
      <c r="F19" s="11" cm="1">
        <f t="array" ref="F19">E19/C19</f>
        <v>0.48943661971831</v>
      </c>
      <c r="G19" s="12">
        <v>702.834535734186</v>
      </c>
      <c r="H19" s="22" cm="1">
        <f t="array" ref="H19">G19/C19</f>
        <v>2.47476949202178</v>
      </c>
      <c r="I19" s="14" cm="1">
        <f t="array" ref="I19">G19/B19</f>
        <v>175.708633933547</v>
      </c>
      <c r="J19" s="23" cm="1">
        <f t="array" ref="J19">C19/B19</f>
        <v>71</v>
      </c>
      <c r="K19" s="12">
        <v>402.727668711381</v>
      </c>
      <c r="L19" s="12">
        <v>744.7276687113811</v>
      </c>
      <c r="M19" s="12" cm="1">
        <f t="array" ref="M19">G19</f>
        <v>702.834535734186</v>
      </c>
      <c r="N19" s="12" cm="1">
        <f t="array" ref="N19">M19-K19</f>
        <v>300.106867022805</v>
      </c>
      <c r="O19" s="20" cm="1">
        <f t="array" ref="O19">N19/K19</f>
        <v>0.745185618815477</v>
      </c>
      <c r="P19" s="20" cm="1">
        <f t="array" ref="P19">(M19-K19)/(L19-K19)</f>
        <v>0.877505459131009</v>
      </c>
      <c r="Q19" s="10">
        <v>157</v>
      </c>
      <c r="R19" s="12">
        <v>8594.709999999999</v>
      </c>
      <c r="S19" s="19">
        <v>1.35</v>
      </c>
      <c r="T19" s="10">
        <v>8</v>
      </c>
      <c r="U19" s="10">
        <v>3</v>
      </c>
      <c r="V19" s="10">
        <v>0</v>
      </c>
      <c r="W19" s="10">
        <v>0</v>
      </c>
      <c r="X19" s="10">
        <v>2</v>
      </c>
      <c r="Y19" s="18">
        <v>203.5</v>
      </c>
    </row>
    <row r="20" ht="17.25" customHeight="1">
      <c r="A20" t="s" s="9">
        <v>42</v>
      </c>
      <c r="B20" s="10">
        <v>14</v>
      </c>
      <c r="C20" s="10">
        <v>2353</v>
      </c>
      <c r="D20" s="10">
        <v>313</v>
      </c>
      <c r="E20" s="10">
        <v>599</v>
      </c>
      <c r="F20" s="19" cm="1">
        <f t="array" ref="F20">E20/C20</f>
        <v>0.254568635784105</v>
      </c>
      <c r="G20" s="12">
        <v>2501.017426711110</v>
      </c>
      <c r="H20" s="14" cm="1">
        <f t="array" ref="H20">G20/C20</f>
        <v>1.06290583370638</v>
      </c>
      <c r="I20" s="14" cm="1">
        <f t="array" ref="I20">G20/B20</f>
        <v>178.644101907936</v>
      </c>
      <c r="J20" s="15" cm="1">
        <f t="array" ref="J20">C20/B20</f>
        <v>168.071428571429</v>
      </c>
      <c r="K20" s="12">
        <v>1545.330729842060</v>
      </c>
      <c r="L20" s="12">
        <v>2288.330729842060</v>
      </c>
      <c r="M20" s="12" cm="1">
        <f t="array" ref="M20">G20</f>
        <v>2501.017426711110</v>
      </c>
      <c r="N20" s="12" cm="1">
        <f t="array" ref="N20">M20-K20</f>
        <v>955.686696869050</v>
      </c>
      <c r="O20" s="20" cm="1">
        <f t="array" ref="O20">N20/K20</f>
        <v>0.61843505627221</v>
      </c>
      <c r="P20" s="20" cm="1">
        <f t="array" ref="P20">(M20-K20)/(L20-K20)</f>
        <v>1.28625396617638</v>
      </c>
      <c r="Q20" s="10">
        <v>424</v>
      </c>
      <c r="R20" s="12">
        <v>7958.560000000010</v>
      </c>
      <c r="S20" s="19">
        <v>0.67</v>
      </c>
      <c r="T20" s="10">
        <v>7</v>
      </c>
      <c r="U20" s="10">
        <v>6</v>
      </c>
      <c r="V20" s="10">
        <v>0</v>
      </c>
      <c r="W20" s="10">
        <v>0</v>
      </c>
      <c r="X20" s="10">
        <v>6</v>
      </c>
      <c r="Y20" s="18">
        <v>1101.73</v>
      </c>
    </row>
    <row r="21" ht="17.25" customHeight="1">
      <c r="A21" t="s" s="9">
        <v>43</v>
      </c>
      <c r="B21" s="10">
        <v>6</v>
      </c>
      <c r="C21" s="10">
        <v>257</v>
      </c>
      <c r="D21" s="10">
        <v>98</v>
      </c>
      <c r="E21" s="10">
        <v>96</v>
      </c>
      <c r="F21" s="19" cm="1">
        <f t="array" ref="F21">E21/C21</f>
        <v>0.373540856031128</v>
      </c>
      <c r="G21" s="12">
        <v>597.210301380590</v>
      </c>
      <c r="H21" s="22" cm="1">
        <f t="array" ref="H21">G21/C21</f>
        <v>2.32377549175327</v>
      </c>
      <c r="I21" s="13" cm="1">
        <f t="array" ref="I21">G21/B21</f>
        <v>99.53505023009831</v>
      </c>
      <c r="J21" s="23" cm="1">
        <f t="array" ref="J21">C21/B21</f>
        <v>42.8333333333333</v>
      </c>
      <c r="K21" s="12">
        <v>343.108086883493</v>
      </c>
      <c r="L21" s="12">
        <v>937.108086883493</v>
      </c>
      <c r="M21" s="12" cm="1">
        <f t="array" ref="M21">G21</f>
        <v>597.210301380590</v>
      </c>
      <c r="N21" s="12" cm="1">
        <f t="array" ref="N21">M21-K21</f>
        <v>254.102214497097</v>
      </c>
      <c r="O21" s="20" cm="1">
        <f t="array" ref="O21">N21/K21</f>
        <v>0.740589406694401</v>
      </c>
      <c r="P21" s="16" cm="1">
        <f t="array" ref="P21">(M21-K21)/(L21-K21)</f>
        <v>0.427781505887369</v>
      </c>
      <c r="Q21" s="10">
        <v>165</v>
      </c>
      <c r="R21" s="12">
        <v>8149.88</v>
      </c>
      <c r="S21" s="19">
        <v>0.74</v>
      </c>
      <c r="T21" s="10">
        <v>2</v>
      </c>
      <c r="U21" s="10">
        <v>1</v>
      </c>
      <c r="V21" s="10">
        <v>0</v>
      </c>
      <c r="W21" s="10">
        <v>0</v>
      </c>
      <c r="X21" s="10">
        <v>2</v>
      </c>
      <c r="Y21" s="10">
        <v>192.5</v>
      </c>
    </row>
    <row r="22" ht="17.25" customHeight="1">
      <c r="A22" t="s" s="9">
        <v>44</v>
      </c>
      <c r="B22" s="10">
        <v>8</v>
      </c>
      <c r="C22" s="10">
        <v>733</v>
      </c>
      <c r="D22" s="10">
        <v>380</v>
      </c>
      <c r="E22" s="10">
        <v>168</v>
      </c>
      <c r="F22" s="25" cm="1">
        <f t="array" ref="F22">E22/C22</f>
        <v>0.229195088676671</v>
      </c>
      <c r="G22" s="12">
        <v>1190.414420483950</v>
      </c>
      <c r="H22" s="14" cm="1">
        <f t="array" ref="H22">G22/C22</f>
        <v>1.62403058729052</v>
      </c>
      <c r="I22" s="14" cm="1">
        <f t="array" ref="I22">G22/B22</f>
        <v>148.801802560494</v>
      </c>
      <c r="J22" s="12" cm="1">
        <f t="array" ref="J22">C22/B22</f>
        <v>91.625</v>
      </c>
      <c r="K22" s="12">
        <v>1045.531604774920</v>
      </c>
      <c r="L22" s="12">
        <v>1641.531604774920</v>
      </c>
      <c r="M22" s="12" cm="1">
        <f t="array" ref="M22">G22</f>
        <v>1190.414420483950</v>
      </c>
      <c r="N22" s="12" cm="1">
        <f t="array" ref="N22">M22-K22</f>
        <v>144.882815709030</v>
      </c>
      <c r="O22" s="21" cm="1">
        <f t="array" ref="O22">N22/K22</f>
        <v>0.138573348760911</v>
      </c>
      <c r="P22" s="21" cm="1">
        <f t="array" ref="P22">(M22-K22)/(L22-K22)</f>
        <v>0.243091972666158</v>
      </c>
      <c r="Q22" s="10">
        <v>209</v>
      </c>
      <c r="R22" s="12">
        <v>7331.7</v>
      </c>
      <c r="S22" s="19">
        <v>0.66</v>
      </c>
      <c r="T22" s="10">
        <v>13</v>
      </c>
      <c r="U22" s="10">
        <v>3</v>
      </c>
      <c r="V22" s="10">
        <v>0</v>
      </c>
      <c r="W22" s="10">
        <v>0</v>
      </c>
      <c r="X22" s="10">
        <v>7</v>
      </c>
      <c r="Y22" s="10">
        <v>151.6</v>
      </c>
    </row>
    <row r="23" ht="17.25" customHeight="1">
      <c r="A23" t="s" s="9">
        <v>45</v>
      </c>
      <c r="B23" s="10">
        <v>11</v>
      </c>
      <c r="C23" s="10">
        <v>1083</v>
      </c>
      <c r="D23" s="10">
        <v>244</v>
      </c>
      <c r="E23" s="10">
        <v>381</v>
      </c>
      <c r="F23" s="19" cm="1">
        <f t="array" ref="F23">E23/C23</f>
        <v>0.35180055401662</v>
      </c>
      <c r="G23" s="12">
        <v>1258.578114945920</v>
      </c>
      <c r="H23" s="14" cm="1">
        <f t="array" ref="H23">G23/C23</f>
        <v>1.16212198979309</v>
      </c>
      <c r="I23" s="14" cm="1">
        <f t="array" ref="I23">G23/B23</f>
        <v>114.416192267811</v>
      </c>
      <c r="J23" s="12" cm="1">
        <f t="array" ref="J23">C23/B23</f>
        <v>98.4545454545455</v>
      </c>
      <c r="K23" s="12">
        <v>918.980896962338</v>
      </c>
      <c r="L23" s="12">
        <v>1352.980896962340</v>
      </c>
      <c r="M23" s="12" cm="1">
        <f t="array" ref="M23">G23</f>
        <v>1258.578114945920</v>
      </c>
      <c r="N23" s="12" cm="1">
        <f t="array" ref="N23">M23-K23</f>
        <v>339.597217983582</v>
      </c>
      <c r="O23" s="16" cm="1">
        <f t="array" ref="O23">N23/K23</f>
        <v>0.369536754361391</v>
      </c>
      <c r="P23" s="16" cm="1">
        <f t="array" ref="P23">(M23-K23)/(L23-K23)</f>
        <v>0.782482069086591</v>
      </c>
      <c r="Q23" s="10">
        <v>278</v>
      </c>
      <c r="R23" s="12">
        <v>5627.08</v>
      </c>
      <c r="S23" s="19">
        <v>0.7</v>
      </c>
      <c r="T23" s="10">
        <v>1</v>
      </c>
      <c r="U23" s="10">
        <v>0</v>
      </c>
      <c r="V23" s="10">
        <v>0</v>
      </c>
      <c r="W23" s="10">
        <v>0</v>
      </c>
      <c r="X23" s="10">
        <v>4</v>
      </c>
      <c r="Y23" s="24">
        <v>0</v>
      </c>
    </row>
    <row r="24" ht="17.25" customHeight="1">
      <c r="A24" t="s" s="9">
        <v>46</v>
      </c>
      <c r="B24" s="10">
        <v>4</v>
      </c>
      <c r="C24" s="10">
        <v>898</v>
      </c>
      <c r="D24" s="10">
        <v>315</v>
      </c>
      <c r="E24" s="10">
        <v>388</v>
      </c>
      <c r="F24" s="19" cm="1">
        <f t="array" ref="F24">E24/C24</f>
        <v>0.432071269487751</v>
      </c>
      <c r="G24" s="12">
        <v>976.862348447827</v>
      </c>
      <c r="H24" s="14" cm="1">
        <f t="array" ref="H24">G24/C24</f>
        <v>1.08781998713566</v>
      </c>
      <c r="I24" s="22" cm="1">
        <f t="array" ref="I24">G24/B24</f>
        <v>244.215587111957</v>
      </c>
      <c r="J24" s="15" cm="1">
        <f t="array" ref="J24">C24/B24</f>
        <v>224.5</v>
      </c>
      <c r="K24" s="12">
        <v>643.498014897114</v>
      </c>
      <c r="L24" s="12">
        <v>1015.498014897110</v>
      </c>
      <c r="M24" s="12" cm="1">
        <f t="array" ref="M24">G24</f>
        <v>976.862348447827</v>
      </c>
      <c r="N24" s="12" cm="1">
        <f t="array" ref="N24">M24-K24</f>
        <v>333.364333550713</v>
      </c>
      <c r="O24" s="20" cm="1">
        <f t="array" ref="O24">N24/K24</f>
        <v>0.518050290495477</v>
      </c>
      <c r="P24" s="20" cm="1">
        <f t="array" ref="P24">(M24-K24)/(L24-K24)</f>
        <v>0.896140681587948</v>
      </c>
      <c r="Q24" s="10">
        <v>161</v>
      </c>
      <c r="R24" s="12">
        <v>5557.2</v>
      </c>
      <c r="S24" s="19">
        <v>0.8</v>
      </c>
      <c r="T24" s="10">
        <v>1</v>
      </c>
      <c r="U24" s="10">
        <v>1</v>
      </c>
      <c r="V24" s="10">
        <v>0</v>
      </c>
      <c r="W24" s="10">
        <v>0</v>
      </c>
      <c r="X24" s="10">
        <v>1</v>
      </c>
      <c r="Y24" s="10">
        <v>96</v>
      </c>
    </row>
    <row r="25" ht="13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28"/>
      <c r="O25" s="28"/>
      <c r="P25" s="28"/>
      <c r="Q25" s="28"/>
      <c r="R25" s="28"/>
      <c r="S25" s="30"/>
      <c r="T25" s="28"/>
      <c r="U25" s="28"/>
      <c r="V25" s="28"/>
      <c r="W25" s="28"/>
      <c r="X25" s="28"/>
      <c r="Y25" s="28"/>
    </row>
    <row r="26" ht="14.2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3"/>
    </row>
    <row r="27" ht="14.25" customHeight="1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6"/>
    </row>
    <row r="28" ht="14.25" customHeight="1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6"/>
    </row>
    <row r="29" ht="14.25" customHeight="1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6"/>
    </row>
    <row r="30" ht="14.25" customHeight="1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6"/>
    </row>
    <row r="31" ht="14.25" customHeight="1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6"/>
    </row>
    <row r="32" ht="14.25" customHeight="1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6"/>
    </row>
    <row r="33" ht="14.25" customHeight="1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6"/>
    </row>
    <row r="34" ht="14.25" customHeight="1">
      <c r="A34" s="3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6"/>
    </row>
    <row r="35" ht="14.25" customHeight="1">
      <c r="A35" s="3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6"/>
    </row>
    <row r="36" ht="14.25" customHeight="1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6"/>
    </row>
    <row r="37" ht="14.25" customHeight="1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6"/>
    </row>
    <row r="38" ht="14.25" customHeight="1">
      <c r="A38" s="3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6"/>
    </row>
    <row r="39" ht="14.25" customHeight="1">
      <c r="A39" s="3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6"/>
    </row>
    <row r="40" ht="14.25" customHeight="1">
      <c r="A40" s="3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6"/>
    </row>
    <row r="41" ht="14.25" customHeight="1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6"/>
    </row>
    <row r="42" ht="14.25" customHeight="1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6"/>
    </row>
    <row r="43" ht="14.25" customHeight="1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6"/>
    </row>
    <row r="44" ht="14.25" customHeight="1">
      <c r="A44" s="3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6"/>
    </row>
    <row r="45" ht="14.25" customHeight="1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6"/>
    </row>
    <row r="46" ht="14.25" customHeight="1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6"/>
    </row>
    <row r="47" ht="14.25" customHeight="1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6"/>
    </row>
    <row r="48" ht="14.25" customHeight="1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6"/>
    </row>
    <row r="49" ht="14.25" customHeight="1">
      <c r="A49" s="3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6"/>
    </row>
    <row r="50" ht="14.25" customHeight="1">
      <c r="A50" s="3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6"/>
    </row>
    <row r="51" ht="14.25" customHeight="1">
      <c r="A51" s="3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6"/>
    </row>
    <row r="52" ht="14.25" customHeight="1">
      <c r="A52" s="34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6"/>
    </row>
    <row r="53" ht="14.25" customHeight="1">
      <c r="A53" s="34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6"/>
    </row>
    <row r="54" ht="14.25" customHeight="1">
      <c r="A54" s="3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6"/>
    </row>
    <row r="55" ht="14.25" customHeight="1">
      <c r="A55" s="3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6"/>
    </row>
    <row r="56" ht="14.25" customHeight="1">
      <c r="A56" s="3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6"/>
    </row>
    <row r="57" ht="14.25" customHeight="1">
      <c r="A57" s="3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6"/>
    </row>
    <row r="58" ht="14.25" customHeight="1">
      <c r="A58" s="3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6"/>
    </row>
    <row r="59" ht="14.25" customHeight="1">
      <c r="A59" s="3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6"/>
    </row>
    <row r="60" ht="14.25" customHeight="1">
      <c r="A60" s="3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6"/>
    </row>
    <row r="61" ht="14.25" customHeight="1">
      <c r="A61" s="3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6"/>
    </row>
    <row r="62" ht="14.25" customHeight="1">
      <c r="A62" s="3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6"/>
    </row>
    <row r="63" ht="14.25" customHeight="1">
      <c r="A63" s="3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6"/>
    </row>
    <row r="64" ht="14.25" customHeight="1">
      <c r="A64" s="3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6"/>
    </row>
    <row r="65" ht="14.25" customHeight="1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6"/>
    </row>
    <row r="66" ht="14.25" customHeight="1">
      <c r="A66" s="3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</row>
    <row r="67" ht="14.25" customHeight="1">
      <c r="A67" s="3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</row>
    <row r="68" ht="14.25" customHeight="1">
      <c r="A68" s="3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</row>
    <row r="69" ht="14.25" customHeight="1">
      <c r="A69" s="34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</row>
    <row r="70" ht="14.25" customHeight="1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</row>
    <row r="71" ht="14.25" customHeight="1">
      <c r="A71" s="3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</row>
    <row r="72" ht="14.25" customHeight="1">
      <c r="A72" s="3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</row>
    <row r="73" ht="14.25" customHeight="1">
      <c r="A73" s="3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</row>
    <row r="74" ht="14.25" customHeight="1">
      <c r="A74" s="34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</row>
    <row r="75" ht="14.25" customHeight="1">
      <c r="A75" s="34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</row>
    <row r="76" ht="14.25" customHeight="1">
      <c r="A76" s="3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</row>
    <row r="77" ht="14.25" customHeight="1">
      <c r="A77" s="34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</row>
    <row r="78" ht="14.25" customHeight="1">
      <c r="A78" s="34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</row>
    <row r="79" ht="14.25" customHeight="1">
      <c r="A79" s="34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</row>
    <row r="80" ht="14.25" customHeight="1">
      <c r="A80" s="34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</row>
    <row r="81" ht="14.25" customHeight="1">
      <c r="A81" s="3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</row>
    <row r="82" ht="14.25" customHeight="1">
      <c r="A82" s="3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</row>
    <row r="83" ht="14.25" customHeight="1">
      <c r="A83" s="3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</row>
    <row r="84" ht="14.25" customHeight="1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</row>
    <row r="85" ht="14.25" customHeight="1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</row>
    <row r="86" ht="14.25" customHeight="1">
      <c r="A86" s="3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</row>
    <row r="87" ht="14.25" customHeight="1">
      <c r="A87" s="3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</row>
    <row r="88" ht="14.25" customHeight="1">
      <c r="A88" s="3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</row>
    <row r="89" ht="14.25" customHeight="1">
      <c r="A89" s="3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</row>
    <row r="90" ht="14.25" customHeight="1">
      <c r="A90" s="3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</row>
    <row r="91" ht="14.25" customHeight="1">
      <c r="A91" s="3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6"/>
    </row>
    <row r="92" ht="14.25" customHeight="1">
      <c r="A92" s="3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6"/>
    </row>
    <row r="93" ht="14.25" customHeight="1">
      <c r="A93" s="34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</row>
    <row r="94" ht="14.25" customHeight="1">
      <c r="A94" s="34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6"/>
    </row>
    <row r="95" ht="14.25" customHeight="1">
      <c r="A95" s="3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6"/>
    </row>
    <row r="96" ht="14.25" customHeight="1">
      <c r="A96" s="34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6"/>
    </row>
    <row r="97" ht="14.25" customHeight="1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6"/>
    </row>
    <row r="98" ht="14.25" customHeight="1">
      <c r="A98" s="3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6"/>
    </row>
    <row r="99" ht="14.25" customHeight="1">
      <c r="A99" s="3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6"/>
    </row>
    <row r="100" ht="14.25" customHeight="1">
      <c r="A100" s="3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6"/>
    </row>
    <row r="101" ht="14.25" customHeight="1">
      <c r="A101" s="3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6"/>
    </row>
    <row r="102" ht="14.25" customHeight="1">
      <c r="A102" s="34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6"/>
    </row>
    <row r="103" ht="14.25" customHeight="1">
      <c r="A103" s="3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6"/>
    </row>
    <row r="104" ht="14.25" customHeight="1">
      <c r="A104" s="34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6"/>
    </row>
    <row r="105" ht="14.25" customHeight="1">
      <c r="A105" s="34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6"/>
    </row>
    <row r="106" ht="14.25" customHeight="1">
      <c r="A106" s="34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6"/>
    </row>
    <row r="107" ht="14.25" customHeight="1">
      <c r="A107" s="34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6"/>
    </row>
    <row r="108" ht="14.25" customHeight="1">
      <c r="A108" s="34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6"/>
    </row>
    <row r="109" ht="14.25" customHeight="1">
      <c r="A109" s="34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6"/>
    </row>
    <row r="110" ht="14.25" customHeight="1">
      <c r="A110" s="34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6"/>
    </row>
    <row r="111" ht="14.25" customHeight="1">
      <c r="A111" s="34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6"/>
    </row>
    <row r="112" ht="14.25" customHeight="1">
      <c r="A112" s="34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6"/>
    </row>
    <row r="113" ht="14.25" customHeight="1">
      <c r="A113" s="34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6"/>
    </row>
    <row r="114" ht="14.25" customHeight="1">
      <c r="A114" s="34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6"/>
    </row>
    <row r="115" ht="14.25" customHeight="1">
      <c r="A115" s="34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6"/>
    </row>
    <row r="116" ht="14.25" customHeight="1">
      <c r="A116" s="34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6"/>
    </row>
    <row r="117" ht="14.25" customHeight="1">
      <c r="A117" s="34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6"/>
    </row>
    <row r="118" ht="14.25" customHeight="1">
      <c r="A118" s="34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6"/>
    </row>
    <row r="119" ht="14.25" customHeight="1">
      <c r="A119" s="34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6"/>
    </row>
    <row r="120" ht="14.25" customHeight="1">
      <c r="A120" s="34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6"/>
    </row>
    <row r="121" ht="14.25" customHeight="1">
      <c r="A121" s="34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6"/>
    </row>
    <row r="122" ht="14.25" customHeight="1">
      <c r="A122" s="34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6"/>
    </row>
    <row r="123" ht="14.25" customHeight="1">
      <c r="A123" s="34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6"/>
    </row>
    <row r="124" ht="14.25" customHeight="1">
      <c r="A124" s="34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6"/>
    </row>
    <row r="125" ht="14.25" customHeight="1">
      <c r="A125" s="34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6"/>
    </row>
    <row r="126" ht="14.25" customHeight="1">
      <c r="A126" s="34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6"/>
    </row>
    <row r="127" ht="14.25" customHeight="1">
      <c r="A127" s="3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6"/>
    </row>
    <row r="128" ht="14.25" customHeight="1">
      <c r="A128" s="34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6"/>
    </row>
    <row r="129" ht="14.25" customHeight="1">
      <c r="A129" s="34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6"/>
    </row>
    <row r="130" ht="14.25" customHeight="1">
      <c r="A130" s="3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6"/>
    </row>
    <row r="131" ht="14.25" customHeight="1">
      <c r="A131" s="34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6"/>
    </row>
    <row r="132" ht="14.25" customHeight="1">
      <c r="A132" s="34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6"/>
    </row>
    <row r="133" ht="14.25" customHeight="1">
      <c r="A133" s="34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6"/>
    </row>
    <row r="134" ht="14.25" customHeight="1">
      <c r="A134" s="34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6"/>
    </row>
    <row r="135" ht="14.25" customHeight="1">
      <c r="A135" s="34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6"/>
    </row>
    <row r="136" ht="14.25" customHeight="1">
      <c r="A136" s="34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6"/>
    </row>
    <row r="137" ht="14.25" customHeight="1">
      <c r="A137" s="34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6"/>
    </row>
    <row r="138" ht="14.25" customHeight="1">
      <c r="A138" s="34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6"/>
    </row>
    <row r="139" ht="14.25" customHeight="1">
      <c r="A139" s="34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6"/>
    </row>
    <row r="140" ht="14.25" customHeight="1">
      <c r="A140" s="34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6"/>
    </row>
    <row r="141" ht="14.25" customHeight="1">
      <c r="A141" s="34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6"/>
    </row>
    <row r="142" ht="14.25" customHeight="1">
      <c r="A142" s="34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6"/>
    </row>
    <row r="143" ht="14.25" customHeight="1">
      <c r="A143" s="34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6"/>
    </row>
    <row r="144" ht="14.25" customHeight="1">
      <c r="A144" s="34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6"/>
    </row>
    <row r="145" ht="14.25" customHeight="1">
      <c r="A145" s="34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6"/>
    </row>
    <row r="146" ht="14.25" customHeight="1">
      <c r="A146" s="34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6"/>
    </row>
    <row r="147" ht="14.25" customHeight="1">
      <c r="A147" s="34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6"/>
    </row>
    <row r="148" ht="14.25" customHeight="1">
      <c r="A148" s="34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6"/>
    </row>
    <row r="149" ht="14.25" customHeight="1">
      <c r="A149" s="34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6"/>
    </row>
    <row r="150" ht="14.25" customHeight="1">
      <c r="A150" s="34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6"/>
    </row>
    <row r="151" ht="14.25" customHeight="1">
      <c r="A151" s="34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6"/>
    </row>
    <row r="152" ht="14.25" customHeight="1">
      <c r="A152" s="34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6"/>
    </row>
    <row r="153" ht="14.25" customHeight="1">
      <c r="A153" s="34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6"/>
    </row>
    <row r="154" ht="14.25" customHeight="1">
      <c r="A154" s="34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6"/>
    </row>
    <row r="155" ht="14.25" customHeight="1">
      <c r="A155" s="34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6"/>
    </row>
    <row r="156" ht="14.25" customHeight="1">
      <c r="A156" s="34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6"/>
    </row>
    <row r="157" ht="14.25" customHeight="1">
      <c r="A157" s="34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6"/>
    </row>
    <row r="158" ht="14.25" customHeight="1">
      <c r="A158" s="34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6"/>
    </row>
    <row r="159" ht="14.25" customHeight="1">
      <c r="A159" s="34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6"/>
    </row>
    <row r="160" ht="14.25" customHeight="1">
      <c r="A160" s="34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6"/>
    </row>
    <row r="161" ht="14.25" customHeight="1">
      <c r="A161" s="34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6"/>
    </row>
    <row r="162" ht="14.25" customHeight="1">
      <c r="A162" s="34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6"/>
    </row>
    <row r="163" ht="14.25" customHeight="1">
      <c r="A163" s="34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6"/>
    </row>
    <row r="164" ht="14.25" customHeight="1">
      <c r="A164" s="34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6"/>
    </row>
    <row r="165" ht="14.25" customHeight="1">
      <c r="A165" s="34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6"/>
    </row>
    <row r="166" ht="14.25" customHeight="1">
      <c r="A166" s="34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6"/>
    </row>
    <row r="167" ht="14.25" customHeight="1">
      <c r="A167" s="34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6"/>
    </row>
    <row r="168" ht="14.25" customHeight="1">
      <c r="A168" s="34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6"/>
    </row>
    <row r="169" ht="14.25" customHeight="1">
      <c r="A169" s="34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6"/>
    </row>
    <row r="170" ht="14.25" customHeight="1">
      <c r="A170" s="34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6"/>
    </row>
    <row r="171" ht="14.25" customHeight="1">
      <c r="A171" s="34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6"/>
    </row>
    <row r="172" ht="14.25" customHeight="1">
      <c r="A172" s="34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6"/>
    </row>
    <row r="173" ht="14.25" customHeight="1">
      <c r="A173" s="34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6"/>
    </row>
    <row r="174" ht="14.25" customHeight="1">
      <c r="A174" s="34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6"/>
    </row>
    <row r="175" ht="14.25" customHeight="1">
      <c r="A175" s="34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6"/>
    </row>
    <row r="176" ht="14.25" customHeight="1">
      <c r="A176" s="34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6"/>
    </row>
    <row r="177" ht="14.25" customHeight="1">
      <c r="A177" s="34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6"/>
    </row>
    <row r="178" ht="14.25" customHeight="1">
      <c r="A178" s="34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6"/>
    </row>
    <row r="179" ht="14.25" customHeight="1">
      <c r="A179" s="34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6"/>
    </row>
    <row r="180" ht="14.25" customHeight="1">
      <c r="A180" s="34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6"/>
    </row>
    <row r="181" ht="14.25" customHeight="1">
      <c r="A181" s="34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6"/>
    </row>
    <row r="182" ht="14.25" customHeight="1">
      <c r="A182" s="34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6"/>
    </row>
    <row r="183" ht="14.25" customHeight="1">
      <c r="A183" s="34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6"/>
    </row>
    <row r="184" ht="14.25" customHeight="1">
      <c r="A184" s="34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6"/>
    </row>
    <row r="185" ht="14.25" customHeight="1">
      <c r="A185" s="34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6"/>
    </row>
    <row r="186" ht="14.25" customHeight="1">
      <c r="A186" s="34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6"/>
    </row>
    <row r="187" ht="14.25" customHeight="1">
      <c r="A187" s="34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6"/>
    </row>
    <row r="188" ht="14.25" customHeight="1">
      <c r="A188" s="34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6"/>
    </row>
    <row r="189" ht="14.25" customHeight="1">
      <c r="A189" s="34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6"/>
    </row>
    <row r="190" ht="14.25" customHeight="1">
      <c r="A190" s="34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6"/>
    </row>
    <row r="191" ht="14.25" customHeight="1">
      <c r="A191" s="34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6"/>
    </row>
    <row r="192" ht="14.25" customHeight="1">
      <c r="A192" s="34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6"/>
    </row>
    <row r="193" ht="14.25" customHeight="1">
      <c r="A193" s="34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6"/>
    </row>
    <row r="194" ht="14.25" customHeight="1">
      <c r="A194" s="34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6"/>
    </row>
    <row r="195" ht="14.25" customHeight="1">
      <c r="A195" s="34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6"/>
    </row>
    <row r="196" ht="14.25" customHeight="1">
      <c r="A196" s="34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6"/>
    </row>
    <row r="197" ht="14.25" customHeight="1">
      <c r="A197" s="34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6"/>
    </row>
    <row r="198" ht="14.25" customHeight="1">
      <c r="A198" s="34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6"/>
    </row>
    <row r="199" ht="14.25" customHeight="1">
      <c r="A199" s="3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6"/>
    </row>
    <row r="200" ht="14.25" customHeight="1">
      <c r="A200" s="34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6"/>
    </row>
    <row r="201" ht="14.25" customHeight="1">
      <c r="A201" s="34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6"/>
    </row>
    <row r="202" ht="14.25" customHeight="1">
      <c r="A202" s="34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6"/>
    </row>
    <row r="203" ht="14.25" customHeight="1">
      <c r="A203" s="34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6"/>
    </row>
    <row r="204" ht="14.25" customHeight="1">
      <c r="A204" s="34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6"/>
    </row>
    <row r="205" ht="14.25" customHeight="1">
      <c r="A205" s="34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6"/>
    </row>
    <row r="206" ht="14.25" customHeight="1">
      <c r="A206" s="34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6"/>
    </row>
    <row r="207" ht="14.25" customHeight="1">
      <c r="A207" s="34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6"/>
    </row>
    <row r="208" ht="14.25" customHeight="1">
      <c r="A208" s="34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6"/>
    </row>
    <row r="209" ht="14.25" customHeight="1">
      <c r="A209" s="34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6"/>
    </row>
    <row r="210" ht="14.25" customHeight="1">
      <c r="A210" s="34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6"/>
    </row>
    <row r="211" ht="14.25" customHeight="1">
      <c r="A211" s="34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6"/>
    </row>
    <row r="212" ht="14.25" customHeight="1">
      <c r="A212" s="34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6"/>
    </row>
    <row r="213" ht="14.25" customHeight="1">
      <c r="A213" s="34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6"/>
    </row>
    <row r="214" ht="14.25" customHeight="1">
      <c r="A214" s="34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6"/>
    </row>
    <row r="215" ht="14.25" customHeight="1">
      <c r="A215" s="34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6"/>
    </row>
    <row r="216" ht="14.25" customHeight="1">
      <c r="A216" s="34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6"/>
    </row>
    <row r="217" ht="14.25" customHeight="1">
      <c r="A217" s="34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6"/>
    </row>
    <row r="218" ht="14.25" customHeight="1">
      <c r="A218" s="34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6"/>
    </row>
    <row r="219" ht="14.25" customHeight="1">
      <c r="A219" s="34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6"/>
    </row>
    <row r="220" ht="14.25" customHeight="1">
      <c r="A220" s="34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6"/>
    </row>
    <row r="221" ht="14.25" customHeight="1">
      <c r="A221" s="34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6"/>
    </row>
    <row r="222" ht="14.25" customHeight="1">
      <c r="A222" s="34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6"/>
    </row>
    <row r="223" ht="14.25" customHeight="1">
      <c r="A223" s="34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6"/>
    </row>
    <row r="224" ht="14.25" customHeight="1">
      <c r="A224" s="34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6"/>
    </row>
    <row r="225" ht="14.25" customHeight="1">
      <c r="A225" s="34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6"/>
    </row>
    <row r="226" ht="14.25" customHeight="1">
      <c r="A226" s="34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6"/>
    </row>
    <row r="227" ht="14.25" customHeight="1">
      <c r="A227" s="34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6"/>
    </row>
    <row r="228" ht="14.25" customHeight="1">
      <c r="A228" s="34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6"/>
    </row>
    <row r="229" ht="14.25" customHeight="1">
      <c r="A229" s="34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6"/>
    </row>
    <row r="230" ht="14.25" customHeight="1">
      <c r="A230" s="34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6"/>
    </row>
    <row r="231" ht="14.25" customHeight="1">
      <c r="A231" s="34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6"/>
    </row>
    <row r="232" ht="14.25" customHeight="1">
      <c r="A232" s="34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6"/>
    </row>
    <row r="233" ht="14.25" customHeight="1">
      <c r="A233" s="34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6"/>
    </row>
    <row r="234" ht="14.25" customHeight="1">
      <c r="A234" s="34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6"/>
    </row>
    <row r="235" ht="14.25" customHeight="1">
      <c r="A235" s="34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6"/>
    </row>
    <row r="236" ht="14.25" customHeight="1">
      <c r="A236" s="34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6"/>
    </row>
    <row r="237" ht="14.25" customHeight="1">
      <c r="A237" s="34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6"/>
    </row>
    <row r="238" ht="14.25" customHeight="1">
      <c r="A238" s="34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6"/>
    </row>
    <row r="239" ht="14.25" customHeight="1">
      <c r="A239" s="34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6"/>
    </row>
    <row r="240" ht="14.25" customHeight="1">
      <c r="A240" s="34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6"/>
    </row>
    <row r="241" ht="14.25" customHeight="1">
      <c r="A241" s="34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6"/>
    </row>
    <row r="242" ht="14.25" customHeight="1">
      <c r="A242" s="34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6"/>
    </row>
    <row r="243" ht="14.25" customHeight="1">
      <c r="A243" s="34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6"/>
    </row>
    <row r="244" ht="14.25" customHeight="1">
      <c r="A244" s="34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6"/>
    </row>
    <row r="245" ht="14.25" customHeight="1">
      <c r="A245" s="34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6"/>
    </row>
    <row r="246" ht="14.25" customHeight="1">
      <c r="A246" s="34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6"/>
    </row>
    <row r="247" ht="14.25" customHeight="1">
      <c r="A247" s="34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6"/>
    </row>
    <row r="248" ht="14.25" customHeight="1">
      <c r="A248" s="34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6"/>
    </row>
    <row r="249" ht="14.25" customHeight="1">
      <c r="A249" s="34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6"/>
    </row>
    <row r="250" ht="14.25" customHeight="1">
      <c r="A250" s="34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6"/>
    </row>
    <row r="251" ht="14.25" customHeight="1">
      <c r="A251" s="34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6"/>
    </row>
    <row r="252" ht="14.25" customHeight="1">
      <c r="A252" s="34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6"/>
    </row>
    <row r="253" ht="14.25" customHeight="1">
      <c r="A253" s="34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6"/>
    </row>
    <row r="254" ht="14.25" customHeight="1">
      <c r="A254" s="34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6"/>
    </row>
    <row r="255" ht="14.25" customHeight="1">
      <c r="A255" s="34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6"/>
    </row>
    <row r="256" ht="14.25" customHeight="1">
      <c r="A256" s="34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6"/>
    </row>
    <row r="257" ht="14.25" customHeight="1">
      <c r="A257" s="34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6"/>
    </row>
    <row r="258" ht="14.25" customHeight="1">
      <c r="A258" s="34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6"/>
    </row>
    <row r="259" ht="14.25" customHeight="1">
      <c r="A259" s="34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6"/>
    </row>
    <row r="260" ht="14.25" customHeight="1">
      <c r="A260" s="34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6"/>
    </row>
    <row r="261" ht="14.25" customHeight="1">
      <c r="A261" s="34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6"/>
    </row>
    <row r="262" ht="14.25" customHeight="1">
      <c r="A262" s="34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6"/>
    </row>
    <row r="263" ht="14.25" customHeight="1">
      <c r="A263" s="34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6"/>
    </row>
    <row r="264" ht="14.25" customHeight="1">
      <c r="A264" s="34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6"/>
    </row>
    <row r="265" ht="14.25" customHeight="1">
      <c r="A265" s="34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6"/>
    </row>
    <row r="266" ht="14.25" customHeight="1">
      <c r="A266" s="34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6"/>
    </row>
    <row r="267" ht="14.25" customHeight="1">
      <c r="A267" s="34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6"/>
    </row>
    <row r="268" ht="14.25" customHeight="1">
      <c r="A268" s="34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6"/>
    </row>
    <row r="269" ht="14.25" customHeight="1">
      <c r="A269" s="34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6"/>
    </row>
    <row r="270" ht="14.25" customHeight="1">
      <c r="A270" s="34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6"/>
    </row>
    <row r="271" ht="14.25" customHeight="1">
      <c r="A271" s="34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6"/>
    </row>
    <row r="272" ht="14.25" customHeight="1">
      <c r="A272" s="34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6"/>
    </row>
    <row r="273" ht="14.25" customHeight="1">
      <c r="A273" s="34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6"/>
    </row>
    <row r="274" ht="14.25" customHeight="1">
      <c r="A274" s="34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6"/>
    </row>
    <row r="275" ht="14.25" customHeight="1">
      <c r="A275" s="34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6"/>
    </row>
    <row r="276" ht="14.25" customHeight="1">
      <c r="A276" s="34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6"/>
    </row>
    <row r="277" ht="14.25" customHeight="1">
      <c r="A277" s="34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6"/>
    </row>
    <row r="278" ht="14.25" customHeight="1">
      <c r="A278" s="34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6"/>
    </row>
    <row r="279" ht="14.25" customHeight="1">
      <c r="A279" s="34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6"/>
    </row>
    <row r="280" ht="14.25" customHeight="1">
      <c r="A280" s="34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6"/>
    </row>
    <row r="281" ht="14.25" customHeight="1">
      <c r="A281" s="34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6"/>
    </row>
    <row r="282" ht="14.25" customHeight="1">
      <c r="A282" s="34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6"/>
    </row>
    <row r="283" ht="14.25" customHeight="1">
      <c r="A283" s="34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6"/>
    </row>
    <row r="284" ht="14.25" customHeight="1">
      <c r="A284" s="34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6"/>
    </row>
    <row r="285" ht="14.25" customHeight="1">
      <c r="A285" s="34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6"/>
    </row>
    <row r="286" ht="14.25" customHeight="1">
      <c r="A286" s="34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6"/>
    </row>
    <row r="287" ht="14.25" customHeight="1">
      <c r="A287" s="34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6"/>
    </row>
    <row r="288" ht="14.25" customHeight="1">
      <c r="A288" s="34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6"/>
    </row>
    <row r="289" ht="14.25" customHeight="1">
      <c r="A289" s="34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6"/>
    </row>
    <row r="290" ht="14.25" customHeight="1">
      <c r="A290" s="34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6"/>
    </row>
    <row r="291" ht="14.25" customHeight="1">
      <c r="A291" s="34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6"/>
    </row>
    <row r="292" ht="14.25" customHeight="1">
      <c r="A292" s="34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6"/>
    </row>
    <row r="293" ht="14.25" customHeight="1">
      <c r="A293" s="34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6"/>
    </row>
    <row r="294" ht="14.25" customHeight="1">
      <c r="A294" s="34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6"/>
    </row>
    <row r="295" ht="14.25" customHeight="1">
      <c r="A295" s="34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6"/>
    </row>
    <row r="296" ht="14.25" customHeight="1">
      <c r="A296" s="34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6"/>
    </row>
    <row r="297" ht="14.25" customHeight="1">
      <c r="A297" s="34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6"/>
    </row>
    <row r="298" ht="14.25" customHeight="1">
      <c r="A298" s="34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6"/>
    </row>
    <row r="299" ht="14.25" customHeight="1">
      <c r="A299" s="34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6"/>
    </row>
    <row r="300" ht="14.25" customHeight="1">
      <c r="A300" s="34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6"/>
    </row>
    <row r="301" ht="14.25" customHeight="1">
      <c r="A301" s="34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6"/>
    </row>
    <row r="302" ht="14.25" customHeight="1">
      <c r="A302" s="34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6"/>
    </row>
    <row r="303" ht="14.25" customHeight="1">
      <c r="A303" s="34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6"/>
    </row>
    <row r="304" ht="14.25" customHeight="1">
      <c r="A304" s="34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6"/>
    </row>
    <row r="305" ht="14.25" customHeight="1">
      <c r="A305" s="34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6"/>
    </row>
    <row r="306" ht="14.25" customHeight="1">
      <c r="A306" s="34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6"/>
    </row>
    <row r="307" ht="14.25" customHeight="1">
      <c r="A307" s="34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6"/>
    </row>
    <row r="308" ht="14.25" customHeight="1">
      <c r="A308" s="34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6"/>
    </row>
    <row r="309" ht="14.25" customHeight="1">
      <c r="A309" s="34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6"/>
    </row>
    <row r="310" ht="14.25" customHeight="1">
      <c r="A310" s="34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6"/>
    </row>
    <row r="311" ht="14.25" customHeight="1">
      <c r="A311" s="34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6"/>
    </row>
    <row r="312" ht="14.25" customHeight="1">
      <c r="A312" s="34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6"/>
    </row>
    <row r="313" ht="14.25" customHeight="1">
      <c r="A313" s="34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6"/>
    </row>
    <row r="314" ht="14.25" customHeight="1">
      <c r="A314" s="34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6"/>
    </row>
    <row r="315" ht="14.25" customHeight="1">
      <c r="A315" s="34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6"/>
    </row>
    <row r="316" ht="14.25" customHeight="1">
      <c r="A316" s="34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6"/>
    </row>
    <row r="317" ht="14.25" customHeight="1">
      <c r="A317" s="34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6"/>
    </row>
    <row r="318" ht="14.25" customHeight="1">
      <c r="A318" s="34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6"/>
    </row>
    <row r="319" ht="14.25" customHeight="1">
      <c r="A319" s="34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6"/>
    </row>
    <row r="320" ht="14.25" customHeight="1">
      <c r="A320" s="34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6"/>
    </row>
    <row r="321" ht="14.25" customHeight="1">
      <c r="A321" s="34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6"/>
    </row>
    <row r="322" ht="14.25" customHeight="1">
      <c r="A322" s="34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6"/>
    </row>
    <row r="323" ht="14.25" customHeight="1">
      <c r="A323" s="34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6"/>
    </row>
    <row r="324" ht="14.25" customHeight="1">
      <c r="A324" s="34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6"/>
    </row>
    <row r="325" ht="14.25" customHeight="1">
      <c r="A325" s="34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6"/>
    </row>
    <row r="326" ht="14.25" customHeight="1">
      <c r="A326" s="34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6"/>
    </row>
    <row r="327" ht="14.25" customHeight="1">
      <c r="A327" s="34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6"/>
    </row>
    <row r="328" ht="14.25" customHeight="1">
      <c r="A328" s="34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6"/>
    </row>
    <row r="329" ht="14.25" customHeight="1">
      <c r="A329" s="34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6"/>
    </row>
    <row r="330" ht="14.25" customHeight="1">
      <c r="A330" s="34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6"/>
    </row>
    <row r="331" ht="14.25" customHeight="1">
      <c r="A331" s="34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6"/>
    </row>
    <row r="332" ht="14.25" customHeight="1">
      <c r="A332" s="34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6"/>
    </row>
    <row r="333" ht="14.25" customHeight="1">
      <c r="A333" s="34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6"/>
    </row>
    <row r="334" ht="14.25" customHeight="1">
      <c r="A334" s="34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6"/>
    </row>
    <row r="335" ht="14.25" customHeight="1">
      <c r="A335" s="34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6"/>
    </row>
    <row r="336" ht="14.25" customHeight="1">
      <c r="A336" s="34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6"/>
    </row>
    <row r="337" ht="14.25" customHeight="1">
      <c r="A337" s="34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6"/>
    </row>
    <row r="338" ht="14.25" customHeight="1">
      <c r="A338" s="34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6"/>
    </row>
    <row r="339" ht="14.25" customHeight="1">
      <c r="A339" s="34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6"/>
    </row>
    <row r="340" ht="14.25" customHeight="1">
      <c r="A340" s="34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6"/>
    </row>
    <row r="341" ht="14.25" customHeight="1">
      <c r="A341" s="34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6"/>
    </row>
    <row r="342" ht="14.25" customHeight="1">
      <c r="A342" s="34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6"/>
    </row>
    <row r="343" ht="14.25" customHeight="1">
      <c r="A343" s="34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6"/>
    </row>
    <row r="344" ht="14.25" customHeight="1">
      <c r="A344" s="34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6"/>
    </row>
    <row r="345" ht="14.25" customHeight="1">
      <c r="A345" s="34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6"/>
    </row>
    <row r="346" ht="14.25" customHeight="1">
      <c r="A346" s="34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6"/>
    </row>
    <row r="347" ht="14.25" customHeight="1">
      <c r="A347" s="34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6"/>
    </row>
    <row r="348" ht="14.25" customHeight="1">
      <c r="A348" s="34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6"/>
    </row>
    <row r="349" ht="14.25" customHeight="1">
      <c r="A349" s="34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6"/>
    </row>
    <row r="350" ht="14.25" customHeight="1">
      <c r="A350" s="34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6"/>
    </row>
    <row r="351" ht="14.25" customHeight="1">
      <c r="A351" s="34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6"/>
    </row>
    <row r="352" ht="14.25" customHeight="1">
      <c r="A352" s="34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6"/>
    </row>
    <row r="353" ht="14.25" customHeight="1">
      <c r="A353" s="34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6"/>
    </row>
    <row r="354" ht="14.25" customHeight="1">
      <c r="A354" s="34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6"/>
    </row>
    <row r="355" ht="14.25" customHeight="1">
      <c r="A355" s="34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6"/>
    </row>
    <row r="356" ht="14.25" customHeight="1">
      <c r="A356" s="34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6"/>
    </row>
    <row r="357" ht="14.25" customHeight="1">
      <c r="A357" s="34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6"/>
    </row>
    <row r="358" ht="14.25" customHeight="1">
      <c r="A358" s="34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6"/>
    </row>
    <row r="359" ht="14.25" customHeight="1">
      <c r="A359" s="34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6"/>
    </row>
    <row r="360" ht="14.25" customHeight="1">
      <c r="A360" s="34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6"/>
    </row>
    <row r="361" ht="14.25" customHeight="1">
      <c r="A361" s="34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6"/>
    </row>
    <row r="362" ht="14.25" customHeight="1">
      <c r="A362" s="34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6"/>
    </row>
    <row r="363" ht="14.25" customHeight="1">
      <c r="A363" s="34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6"/>
    </row>
    <row r="364" ht="14.25" customHeight="1">
      <c r="A364" s="34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6"/>
    </row>
    <row r="365" ht="14.25" customHeight="1">
      <c r="A365" s="34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6"/>
    </row>
    <row r="366" ht="14.25" customHeight="1">
      <c r="A366" s="34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6"/>
    </row>
    <row r="367" ht="14.25" customHeight="1">
      <c r="A367" s="34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6"/>
    </row>
    <row r="368" ht="14.25" customHeight="1">
      <c r="A368" s="34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6"/>
    </row>
    <row r="369" ht="14.25" customHeight="1">
      <c r="A369" s="34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6"/>
    </row>
    <row r="370" ht="14.25" customHeight="1">
      <c r="A370" s="34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6"/>
    </row>
    <row r="371" ht="14.25" customHeight="1">
      <c r="A371" s="34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6"/>
    </row>
    <row r="372" ht="14.25" customHeight="1">
      <c r="A372" s="34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6"/>
    </row>
    <row r="373" ht="14.25" customHeight="1">
      <c r="A373" s="34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6"/>
    </row>
    <row r="374" ht="14.25" customHeight="1">
      <c r="A374" s="34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6"/>
    </row>
    <row r="375" ht="14.25" customHeight="1">
      <c r="A375" s="34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6"/>
    </row>
    <row r="376" ht="14.25" customHeight="1">
      <c r="A376" s="34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6"/>
    </row>
    <row r="377" ht="14.25" customHeight="1">
      <c r="A377" s="34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6"/>
    </row>
    <row r="378" ht="14.25" customHeight="1">
      <c r="A378" s="34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6"/>
    </row>
    <row r="379" ht="14.25" customHeight="1">
      <c r="A379" s="34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6"/>
    </row>
    <row r="380" ht="14.25" customHeight="1">
      <c r="A380" s="34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6"/>
    </row>
    <row r="381" ht="14.25" customHeight="1">
      <c r="A381" s="34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6"/>
    </row>
    <row r="382" ht="14.25" customHeight="1">
      <c r="A382" s="34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6"/>
    </row>
    <row r="383" ht="14.25" customHeight="1">
      <c r="A383" s="34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6"/>
    </row>
    <row r="384" ht="14.25" customHeight="1">
      <c r="A384" s="34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6"/>
    </row>
    <row r="385" ht="14.25" customHeight="1">
      <c r="A385" s="34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6"/>
    </row>
    <row r="386" ht="14.25" customHeight="1">
      <c r="A386" s="34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6"/>
    </row>
    <row r="387" ht="14.25" customHeight="1">
      <c r="A387" s="34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6"/>
    </row>
    <row r="388" ht="14.25" customHeight="1">
      <c r="A388" s="34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6"/>
    </row>
    <row r="389" ht="14.25" customHeight="1">
      <c r="A389" s="34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6"/>
    </row>
    <row r="390" ht="14.25" customHeight="1">
      <c r="A390" s="34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6"/>
    </row>
    <row r="391" ht="14.25" customHeight="1">
      <c r="A391" s="34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6"/>
    </row>
    <row r="392" ht="14.25" customHeight="1">
      <c r="A392" s="34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6"/>
    </row>
    <row r="393" ht="14.25" customHeight="1">
      <c r="A393" s="34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6"/>
    </row>
    <row r="394" ht="14.25" customHeight="1">
      <c r="A394" s="34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6"/>
    </row>
    <row r="395" ht="14.25" customHeight="1">
      <c r="A395" s="34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6"/>
    </row>
    <row r="396" ht="14.25" customHeight="1">
      <c r="A396" s="34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6"/>
    </row>
    <row r="397" ht="14.25" customHeight="1">
      <c r="A397" s="34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6"/>
    </row>
    <row r="398" ht="14.25" customHeight="1">
      <c r="A398" s="34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6"/>
    </row>
    <row r="399" ht="14.25" customHeight="1">
      <c r="A399" s="34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6"/>
    </row>
    <row r="400" ht="14.25" customHeight="1">
      <c r="A400" s="34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6"/>
    </row>
    <row r="401" ht="14.25" customHeight="1">
      <c r="A401" s="34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6"/>
    </row>
    <row r="402" ht="14.25" customHeight="1">
      <c r="A402" s="34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6"/>
    </row>
    <row r="403" ht="14.25" customHeight="1">
      <c r="A403" s="34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6"/>
    </row>
    <row r="404" ht="14.25" customHeight="1">
      <c r="A404" s="34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6"/>
    </row>
    <row r="405" ht="14.25" customHeight="1">
      <c r="A405" s="34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6"/>
    </row>
    <row r="406" ht="14.25" customHeight="1">
      <c r="A406" s="34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6"/>
    </row>
    <row r="407" ht="14.25" customHeight="1">
      <c r="A407" s="34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6"/>
    </row>
    <row r="408" ht="14.25" customHeight="1">
      <c r="A408" s="34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6"/>
    </row>
    <row r="409" ht="14.25" customHeight="1">
      <c r="A409" s="34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6"/>
    </row>
    <row r="410" ht="14.25" customHeight="1">
      <c r="A410" s="34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6"/>
    </row>
    <row r="411" ht="14.25" customHeight="1">
      <c r="A411" s="34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6"/>
    </row>
    <row r="412" ht="14.25" customHeight="1">
      <c r="A412" s="34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6"/>
    </row>
    <row r="413" ht="14.25" customHeight="1">
      <c r="A413" s="34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6"/>
    </row>
    <row r="414" ht="14.25" customHeight="1">
      <c r="A414" s="34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6"/>
    </row>
    <row r="415" ht="14.25" customHeight="1">
      <c r="A415" s="34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6"/>
    </row>
    <row r="416" ht="14.25" customHeight="1">
      <c r="A416" s="34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6"/>
    </row>
    <row r="417" ht="14.25" customHeight="1">
      <c r="A417" s="34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6"/>
    </row>
    <row r="418" ht="14.25" customHeight="1">
      <c r="A418" s="34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6"/>
    </row>
    <row r="419" ht="14.25" customHeight="1">
      <c r="A419" s="34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6"/>
    </row>
    <row r="420" ht="14.25" customHeight="1">
      <c r="A420" s="34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6"/>
    </row>
    <row r="421" ht="14.25" customHeight="1">
      <c r="A421" s="34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6"/>
    </row>
    <row r="422" ht="14.25" customHeight="1">
      <c r="A422" s="34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6"/>
    </row>
    <row r="423" ht="14.25" customHeight="1">
      <c r="A423" s="34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6"/>
    </row>
    <row r="424" ht="14.25" customHeight="1">
      <c r="A424" s="34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6"/>
    </row>
    <row r="425" ht="14.25" customHeight="1">
      <c r="A425" s="34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6"/>
    </row>
    <row r="426" ht="14.25" customHeight="1">
      <c r="A426" s="34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6"/>
    </row>
    <row r="427" ht="14.25" customHeight="1">
      <c r="A427" s="34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6"/>
    </row>
    <row r="428" ht="14.25" customHeight="1">
      <c r="A428" s="34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6"/>
    </row>
    <row r="429" ht="14.25" customHeight="1">
      <c r="A429" s="34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6"/>
    </row>
    <row r="430" ht="14.25" customHeight="1">
      <c r="A430" s="34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6"/>
    </row>
    <row r="431" ht="14.25" customHeight="1">
      <c r="A431" s="34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6"/>
    </row>
    <row r="432" ht="14.25" customHeight="1">
      <c r="A432" s="34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6"/>
    </row>
    <row r="433" ht="14.25" customHeight="1">
      <c r="A433" s="34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6"/>
    </row>
    <row r="434" ht="14.25" customHeight="1">
      <c r="A434" s="34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6"/>
    </row>
    <row r="435" ht="14.25" customHeight="1">
      <c r="A435" s="34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6"/>
    </row>
    <row r="436" ht="14.25" customHeight="1">
      <c r="A436" s="34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6"/>
    </row>
    <row r="437" ht="14.25" customHeight="1">
      <c r="A437" s="34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6"/>
    </row>
    <row r="438" ht="14.25" customHeight="1">
      <c r="A438" s="34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6"/>
    </row>
    <row r="439" ht="14.25" customHeight="1">
      <c r="A439" s="34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6"/>
    </row>
    <row r="440" ht="14.25" customHeight="1">
      <c r="A440" s="34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6"/>
    </row>
    <row r="441" ht="14.25" customHeight="1">
      <c r="A441" s="34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6"/>
    </row>
    <row r="442" ht="14.25" customHeight="1">
      <c r="A442" s="34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6"/>
    </row>
    <row r="443" ht="14.25" customHeight="1">
      <c r="A443" s="34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6"/>
    </row>
    <row r="444" ht="14.25" customHeight="1">
      <c r="A444" s="34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6"/>
    </row>
    <row r="445" ht="14.25" customHeight="1">
      <c r="A445" s="34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6"/>
    </row>
    <row r="446" ht="14.25" customHeight="1">
      <c r="A446" s="34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6"/>
    </row>
    <row r="447" ht="14.25" customHeight="1">
      <c r="A447" s="34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6"/>
    </row>
    <row r="448" ht="14.25" customHeight="1">
      <c r="A448" s="34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6"/>
    </row>
    <row r="449" ht="14.25" customHeight="1">
      <c r="A449" s="34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6"/>
    </row>
    <row r="450" ht="14.25" customHeight="1">
      <c r="A450" s="34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6"/>
    </row>
    <row r="451" ht="14.25" customHeight="1">
      <c r="A451" s="34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6"/>
    </row>
    <row r="452" ht="14.25" customHeight="1">
      <c r="A452" s="34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6"/>
    </row>
    <row r="453" ht="14.25" customHeight="1">
      <c r="A453" s="34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6"/>
    </row>
    <row r="454" ht="14.25" customHeight="1">
      <c r="A454" s="34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6"/>
    </row>
    <row r="455" ht="14.25" customHeight="1">
      <c r="A455" s="34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6"/>
    </row>
    <row r="456" ht="14.25" customHeight="1">
      <c r="A456" s="34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6"/>
    </row>
    <row r="457" ht="14.25" customHeight="1">
      <c r="A457" s="34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6"/>
    </row>
    <row r="458" ht="14.25" customHeight="1">
      <c r="A458" s="34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6"/>
    </row>
    <row r="459" ht="14.25" customHeight="1">
      <c r="A459" s="34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6"/>
    </row>
    <row r="460" ht="14.25" customHeight="1">
      <c r="A460" s="34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6"/>
    </row>
    <row r="461" ht="14.25" customHeight="1">
      <c r="A461" s="34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6"/>
    </row>
    <row r="462" ht="14.25" customHeight="1">
      <c r="A462" s="34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6"/>
    </row>
    <row r="463" ht="14.25" customHeight="1">
      <c r="A463" s="34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6"/>
    </row>
    <row r="464" ht="14.25" customHeight="1">
      <c r="A464" s="34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6"/>
    </row>
    <row r="465" ht="14.25" customHeight="1">
      <c r="A465" s="34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6"/>
    </row>
    <row r="466" ht="14.25" customHeight="1">
      <c r="A466" s="34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6"/>
    </row>
    <row r="467" ht="14.25" customHeight="1">
      <c r="A467" s="34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6"/>
    </row>
    <row r="468" ht="14.25" customHeight="1">
      <c r="A468" s="34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6"/>
    </row>
    <row r="469" ht="14.25" customHeight="1">
      <c r="A469" s="34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6"/>
    </row>
    <row r="470" ht="14.25" customHeight="1">
      <c r="A470" s="34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6"/>
    </row>
    <row r="471" ht="14.25" customHeight="1">
      <c r="A471" s="34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6"/>
    </row>
    <row r="472" ht="14.25" customHeight="1">
      <c r="A472" s="34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6"/>
    </row>
    <row r="473" ht="14.25" customHeight="1">
      <c r="A473" s="34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6"/>
    </row>
    <row r="474" ht="14.25" customHeight="1">
      <c r="A474" s="34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6"/>
    </row>
    <row r="475" ht="14.25" customHeight="1">
      <c r="A475" s="34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6"/>
    </row>
    <row r="476" ht="14.25" customHeight="1">
      <c r="A476" s="34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6"/>
    </row>
    <row r="477" ht="14.25" customHeight="1">
      <c r="A477" s="34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6"/>
    </row>
    <row r="478" ht="14.25" customHeight="1">
      <c r="A478" s="34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6"/>
    </row>
    <row r="479" ht="14.25" customHeight="1">
      <c r="A479" s="34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6"/>
    </row>
    <row r="480" ht="14.25" customHeight="1">
      <c r="A480" s="34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6"/>
    </row>
    <row r="481" ht="14.25" customHeight="1">
      <c r="A481" s="34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6"/>
    </row>
    <row r="482" ht="14.25" customHeight="1">
      <c r="A482" s="34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6"/>
    </row>
    <row r="483" ht="14.25" customHeight="1">
      <c r="A483" s="34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6"/>
    </row>
    <row r="484" ht="14.25" customHeight="1">
      <c r="A484" s="34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6"/>
    </row>
    <row r="485" ht="14.25" customHeight="1">
      <c r="A485" s="34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6"/>
    </row>
    <row r="486" ht="14.25" customHeight="1">
      <c r="A486" s="34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6"/>
    </row>
    <row r="487" ht="14.25" customHeight="1">
      <c r="A487" s="34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6"/>
    </row>
    <row r="488" ht="14.25" customHeight="1">
      <c r="A488" s="34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6"/>
    </row>
    <row r="489" ht="14.25" customHeight="1">
      <c r="A489" s="34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6"/>
    </row>
    <row r="490" ht="14.25" customHeight="1">
      <c r="A490" s="34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6"/>
    </row>
    <row r="491" ht="14.25" customHeight="1">
      <c r="A491" s="34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6"/>
    </row>
    <row r="492" ht="14.25" customHeight="1">
      <c r="A492" s="34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6"/>
    </row>
    <row r="493" ht="14.25" customHeight="1">
      <c r="A493" s="34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6"/>
    </row>
    <row r="494" ht="14.25" customHeight="1">
      <c r="A494" s="34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6"/>
    </row>
    <row r="495" ht="14.25" customHeight="1">
      <c r="A495" s="34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6"/>
    </row>
    <row r="496" ht="14.25" customHeight="1">
      <c r="A496" s="34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6"/>
    </row>
    <row r="497" ht="14.25" customHeight="1">
      <c r="A497" s="34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6"/>
    </row>
    <row r="498" ht="14.25" customHeight="1">
      <c r="A498" s="34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6"/>
    </row>
    <row r="499" ht="14.25" customHeight="1">
      <c r="A499" s="34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6"/>
    </row>
    <row r="500" ht="14.25" customHeight="1">
      <c r="A500" s="34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6"/>
    </row>
    <row r="501" ht="14.25" customHeight="1">
      <c r="A501" s="34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6"/>
    </row>
    <row r="502" ht="14.25" customHeight="1">
      <c r="A502" s="34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6"/>
    </row>
    <row r="503" ht="14.25" customHeight="1">
      <c r="A503" s="34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6"/>
    </row>
    <row r="504" ht="14.25" customHeight="1">
      <c r="A504" s="34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6"/>
    </row>
    <row r="505" ht="14.25" customHeight="1">
      <c r="A505" s="34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6"/>
    </row>
    <row r="506" ht="14.25" customHeight="1">
      <c r="A506" s="34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6"/>
    </row>
    <row r="507" ht="14.25" customHeight="1">
      <c r="A507" s="34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6"/>
    </row>
    <row r="508" ht="14.25" customHeight="1">
      <c r="A508" s="34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6"/>
    </row>
    <row r="509" ht="14.25" customHeight="1">
      <c r="A509" s="34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6"/>
    </row>
    <row r="510" ht="14.25" customHeight="1">
      <c r="A510" s="34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6"/>
    </row>
    <row r="511" ht="14.25" customHeight="1">
      <c r="A511" s="34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6"/>
    </row>
    <row r="512" ht="14.25" customHeight="1">
      <c r="A512" s="34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6"/>
    </row>
    <row r="513" ht="14.25" customHeight="1">
      <c r="A513" s="34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6"/>
    </row>
    <row r="514" ht="14.25" customHeight="1">
      <c r="A514" s="34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6"/>
    </row>
    <row r="515" ht="14.25" customHeight="1">
      <c r="A515" s="34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6"/>
    </row>
    <row r="516" ht="14.25" customHeight="1">
      <c r="A516" s="34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6"/>
    </row>
    <row r="517" ht="14.25" customHeight="1">
      <c r="A517" s="34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6"/>
    </row>
    <row r="518" ht="14.25" customHeight="1">
      <c r="A518" s="34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6"/>
    </row>
    <row r="519" ht="14.25" customHeight="1">
      <c r="A519" s="34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6"/>
    </row>
    <row r="520" ht="14.25" customHeight="1">
      <c r="A520" s="34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6"/>
    </row>
    <row r="521" ht="14.25" customHeight="1">
      <c r="A521" s="34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6"/>
    </row>
    <row r="522" ht="14.25" customHeight="1">
      <c r="A522" s="34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6"/>
    </row>
    <row r="523" ht="14.25" customHeight="1">
      <c r="A523" s="34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6"/>
    </row>
    <row r="524" ht="14.25" customHeight="1">
      <c r="A524" s="34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6"/>
    </row>
    <row r="525" ht="14.25" customHeight="1">
      <c r="A525" s="34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6"/>
    </row>
    <row r="526" ht="14.25" customHeight="1">
      <c r="A526" s="34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6"/>
    </row>
    <row r="527" ht="14.25" customHeight="1">
      <c r="A527" s="34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6"/>
    </row>
    <row r="528" ht="14.25" customHeight="1">
      <c r="A528" s="34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6"/>
    </row>
    <row r="529" ht="14.25" customHeight="1">
      <c r="A529" s="34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6"/>
    </row>
    <row r="530" ht="14.25" customHeight="1">
      <c r="A530" s="34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6"/>
    </row>
    <row r="531" ht="14.25" customHeight="1">
      <c r="A531" s="34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6"/>
    </row>
    <row r="532" ht="14.25" customHeight="1">
      <c r="A532" s="34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6"/>
    </row>
    <row r="533" ht="14.25" customHeight="1">
      <c r="A533" s="34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6"/>
    </row>
    <row r="534" ht="14.25" customHeight="1">
      <c r="A534" s="34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6"/>
    </row>
    <row r="535" ht="14.25" customHeight="1">
      <c r="A535" s="34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6"/>
    </row>
    <row r="536" ht="14.25" customHeight="1">
      <c r="A536" s="34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6"/>
    </row>
    <row r="537" ht="14.25" customHeight="1">
      <c r="A537" s="34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6"/>
    </row>
    <row r="538" ht="14.25" customHeight="1">
      <c r="A538" s="34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6"/>
    </row>
    <row r="539" ht="14.25" customHeight="1">
      <c r="A539" s="34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6"/>
    </row>
    <row r="540" ht="14.25" customHeight="1">
      <c r="A540" s="34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6"/>
    </row>
    <row r="541" ht="14.25" customHeight="1">
      <c r="A541" s="34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6"/>
    </row>
    <row r="542" ht="14.25" customHeight="1">
      <c r="A542" s="34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6"/>
    </row>
    <row r="543" ht="14.25" customHeight="1">
      <c r="A543" s="34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6"/>
    </row>
    <row r="544" ht="14.25" customHeight="1">
      <c r="A544" s="34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6"/>
    </row>
    <row r="545" ht="14.25" customHeight="1">
      <c r="A545" s="34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6"/>
    </row>
    <row r="546" ht="14.25" customHeight="1">
      <c r="A546" s="34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6"/>
    </row>
    <row r="547" ht="14.25" customHeight="1">
      <c r="A547" s="34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6"/>
    </row>
    <row r="548" ht="14.25" customHeight="1">
      <c r="A548" s="34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6"/>
    </row>
    <row r="549" ht="14.25" customHeight="1">
      <c r="A549" s="34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6"/>
    </row>
    <row r="550" ht="14.25" customHeight="1">
      <c r="A550" s="34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6"/>
    </row>
    <row r="551" ht="14.25" customHeight="1">
      <c r="A551" s="34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6"/>
    </row>
    <row r="552" ht="14.25" customHeight="1">
      <c r="A552" s="34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6"/>
    </row>
    <row r="553" ht="14.25" customHeight="1">
      <c r="A553" s="34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6"/>
    </row>
    <row r="554" ht="14.25" customHeight="1">
      <c r="A554" s="34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6"/>
    </row>
    <row r="555" ht="14.25" customHeight="1">
      <c r="A555" s="34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6"/>
    </row>
    <row r="556" ht="14.25" customHeight="1">
      <c r="A556" s="34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6"/>
    </row>
    <row r="557" ht="14.25" customHeight="1">
      <c r="A557" s="34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6"/>
    </row>
    <row r="558" ht="14.25" customHeight="1">
      <c r="A558" s="34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6"/>
    </row>
    <row r="559" ht="14.25" customHeight="1">
      <c r="A559" s="34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6"/>
    </row>
    <row r="560" ht="14.25" customHeight="1">
      <c r="A560" s="34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6"/>
    </row>
    <row r="561" ht="14.25" customHeight="1">
      <c r="A561" s="34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6"/>
    </row>
    <row r="562" ht="14.25" customHeight="1">
      <c r="A562" s="34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6"/>
    </row>
    <row r="563" ht="14.25" customHeight="1">
      <c r="A563" s="34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6"/>
    </row>
    <row r="564" ht="14.25" customHeight="1">
      <c r="A564" s="34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6"/>
    </row>
    <row r="565" ht="14.25" customHeight="1">
      <c r="A565" s="34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6"/>
    </row>
    <row r="566" ht="14.25" customHeight="1">
      <c r="A566" s="34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6"/>
    </row>
    <row r="567" ht="14.25" customHeight="1">
      <c r="A567" s="34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6"/>
    </row>
    <row r="568" ht="14.25" customHeight="1">
      <c r="A568" s="34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6"/>
    </row>
    <row r="569" ht="14.25" customHeight="1">
      <c r="A569" s="34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6"/>
    </row>
    <row r="570" ht="14.25" customHeight="1">
      <c r="A570" s="34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6"/>
    </row>
    <row r="571" ht="14.25" customHeight="1">
      <c r="A571" s="34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6"/>
    </row>
    <row r="572" ht="14.25" customHeight="1">
      <c r="A572" s="34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6"/>
    </row>
    <row r="573" ht="14.25" customHeight="1">
      <c r="A573" s="34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6"/>
    </row>
    <row r="574" ht="14.25" customHeight="1">
      <c r="A574" s="34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6"/>
    </row>
    <row r="575" ht="14.25" customHeight="1">
      <c r="A575" s="34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6"/>
    </row>
    <row r="576" ht="14.25" customHeight="1">
      <c r="A576" s="34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6"/>
    </row>
    <row r="577" ht="14.25" customHeight="1">
      <c r="A577" s="34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6"/>
    </row>
    <row r="578" ht="14.25" customHeight="1">
      <c r="A578" s="34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6"/>
    </row>
    <row r="579" ht="14.25" customHeight="1">
      <c r="A579" s="34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6"/>
    </row>
    <row r="580" ht="14.25" customHeight="1">
      <c r="A580" s="34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6"/>
    </row>
    <row r="581" ht="14.25" customHeight="1">
      <c r="A581" s="34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6"/>
    </row>
    <row r="582" ht="14.25" customHeight="1">
      <c r="A582" s="34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6"/>
    </row>
    <row r="583" ht="14.25" customHeight="1">
      <c r="A583" s="34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6"/>
    </row>
    <row r="584" ht="14.25" customHeight="1">
      <c r="A584" s="34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6"/>
    </row>
    <row r="585" ht="14.25" customHeight="1">
      <c r="A585" s="34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6"/>
    </row>
    <row r="586" ht="14.25" customHeight="1">
      <c r="A586" s="34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6"/>
    </row>
    <row r="587" ht="14.25" customHeight="1">
      <c r="A587" s="34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6"/>
    </row>
    <row r="588" ht="14.25" customHeight="1">
      <c r="A588" s="34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6"/>
    </row>
    <row r="589" ht="14.25" customHeight="1">
      <c r="A589" s="34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6"/>
    </row>
    <row r="590" ht="14.25" customHeight="1">
      <c r="A590" s="34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6"/>
    </row>
    <row r="591" ht="14.25" customHeight="1">
      <c r="A591" s="34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6"/>
    </row>
    <row r="592" ht="14.25" customHeight="1">
      <c r="A592" s="34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6"/>
    </row>
    <row r="593" ht="14.25" customHeight="1">
      <c r="A593" s="34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6"/>
    </row>
    <row r="594" ht="14.25" customHeight="1">
      <c r="A594" s="34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6"/>
    </row>
    <row r="595" ht="14.25" customHeight="1">
      <c r="A595" s="34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6"/>
    </row>
    <row r="596" ht="14.25" customHeight="1">
      <c r="A596" s="34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6"/>
    </row>
    <row r="597" ht="14.25" customHeight="1">
      <c r="A597" s="34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6"/>
    </row>
    <row r="598" ht="14.25" customHeight="1">
      <c r="A598" s="34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6"/>
    </row>
    <row r="599" ht="14.25" customHeight="1">
      <c r="A599" s="34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6"/>
    </row>
    <row r="600" ht="14.25" customHeight="1">
      <c r="A600" s="34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6"/>
    </row>
    <row r="601" ht="14.25" customHeight="1">
      <c r="A601" s="34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6"/>
    </row>
    <row r="602" ht="14.25" customHeight="1">
      <c r="A602" s="34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6"/>
    </row>
    <row r="603" ht="14.25" customHeight="1">
      <c r="A603" s="34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6"/>
    </row>
    <row r="604" ht="14.25" customHeight="1">
      <c r="A604" s="34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6"/>
    </row>
    <row r="605" ht="14.25" customHeight="1">
      <c r="A605" s="34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6"/>
    </row>
    <row r="606" ht="14.25" customHeight="1">
      <c r="A606" s="34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6"/>
    </row>
    <row r="607" ht="14.25" customHeight="1">
      <c r="A607" s="34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6"/>
    </row>
    <row r="608" ht="14.25" customHeight="1">
      <c r="A608" s="34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6"/>
    </row>
    <row r="609" ht="14.25" customHeight="1">
      <c r="A609" s="34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6"/>
    </row>
    <row r="610" ht="14.25" customHeight="1">
      <c r="A610" s="34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6"/>
    </row>
    <row r="611" ht="14.25" customHeight="1">
      <c r="A611" s="34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6"/>
    </row>
    <row r="612" ht="14.25" customHeight="1">
      <c r="A612" s="34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6"/>
    </row>
    <row r="613" ht="14.25" customHeight="1">
      <c r="A613" s="34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6"/>
    </row>
    <row r="614" ht="14.25" customHeight="1">
      <c r="A614" s="34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6"/>
    </row>
    <row r="615" ht="14.25" customHeight="1">
      <c r="A615" s="34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6"/>
    </row>
    <row r="616" ht="14.25" customHeight="1">
      <c r="A616" s="34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6"/>
    </row>
    <row r="617" ht="14.25" customHeight="1">
      <c r="A617" s="34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6"/>
    </row>
    <row r="618" ht="14.25" customHeight="1">
      <c r="A618" s="34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6"/>
    </row>
    <row r="619" ht="14.25" customHeight="1">
      <c r="A619" s="34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6"/>
    </row>
    <row r="620" ht="14.25" customHeight="1">
      <c r="A620" s="34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6"/>
    </row>
    <row r="621" ht="14.25" customHeight="1">
      <c r="A621" s="34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6"/>
    </row>
    <row r="622" ht="14.25" customHeight="1">
      <c r="A622" s="34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6"/>
    </row>
    <row r="623" ht="14.25" customHeight="1">
      <c r="A623" s="34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6"/>
    </row>
    <row r="624" ht="14.25" customHeight="1">
      <c r="A624" s="34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6"/>
    </row>
    <row r="625" ht="14.25" customHeight="1">
      <c r="A625" s="34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6"/>
    </row>
    <row r="626" ht="14.25" customHeight="1">
      <c r="A626" s="34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6"/>
    </row>
    <row r="627" ht="14.25" customHeight="1">
      <c r="A627" s="34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6"/>
    </row>
    <row r="628" ht="14.25" customHeight="1">
      <c r="A628" s="34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6"/>
    </row>
    <row r="629" ht="14.25" customHeight="1">
      <c r="A629" s="34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6"/>
    </row>
    <row r="630" ht="14.25" customHeight="1">
      <c r="A630" s="34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6"/>
    </row>
    <row r="631" ht="14.25" customHeight="1">
      <c r="A631" s="34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6"/>
    </row>
    <row r="632" ht="14.25" customHeight="1">
      <c r="A632" s="34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6"/>
    </row>
    <row r="633" ht="14.25" customHeight="1">
      <c r="A633" s="34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6"/>
    </row>
    <row r="634" ht="14.25" customHeight="1">
      <c r="A634" s="34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6"/>
    </row>
    <row r="635" ht="14.25" customHeight="1">
      <c r="A635" s="34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6"/>
    </row>
    <row r="636" ht="14.25" customHeight="1">
      <c r="A636" s="34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6"/>
    </row>
    <row r="637" ht="14.25" customHeight="1">
      <c r="A637" s="34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6"/>
    </row>
    <row r="638" ht="14.25" customHeight="1">
      <c r="A638" s="34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6"/>
    </row>
    <row r="639" ht="14.25" customHeight="1">
      <c r="A639" s="34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6"/>
    </row>
    <row r="640" ht="14.25" customHeight="1">
      <c r="A640" s="34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6"/>
    </row>
    <row r="641" ht="14.25" customHeight="1">
      <c r="A641" s="34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6"/>
    </row>
    <row r="642" ht="14.25" customHeight="1">
      <c r="A642" s="34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6"/>
    </row>
    <row r="643" ht="14.25" customHeight="1">
      <c r="A643" s="34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6"/>
    </row>
    <row r="644" ht="14.25" customHeight="1">
      <c r="A644" s="34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6"/>
    </row>
    <row r="645" ht="14.25" customHeight="1">
      <c r="A645" s="34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6"/>
    </row>
    <row r="646" ht="14.25" customHeight="1">
      <c r="A646" s="34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6"/>
    </row>
    <row r="647" ht="14.25" customHeight="1">
      <c r="A647" s="34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6"/>
    </row>
    <row r="648" ht="14.25" customHeight="1">
      <c r="A648" s="34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6"/>
    </row>
    <row r="649" ht="14.25" customHeight="1">
      <c r="A649" s="34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6"/>
    </row>
    <row r="650" ht="14.25" customHeight="1">
      <c r="A650" s="34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6"/>
    </row>
    <row r="651" ht="14.25" customHeight="1">
      <c r="A651" s="34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6"/>
    </row>
    <row r="652" ht="14.25" customHeight="1">
      <c r="A652" s="34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6"/>
    </row>
    <row r="653" ht="14.25" customHeight="1">
      <c r="A653" s="34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6"/>
    </row>
    <row r="654" ht="14.25" customHeight="1">
      <c r="A654" s="34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6"/>
    </row>
    <row r="655" ht="14.25" customHeight="1">
      <c r="A655" s="34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6"/>
    </row>
    <row r="656" ht="14.25" customHeight="1">
      <c r="A656" s="34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6"/>
    </row>
    <row r="657" ht="14.25" customHeight="1">
      <c r="A657" s="34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6"/>
    </row>
    <row r="658" ht="14.25" customHeight="1">
      <c r="A658" s="34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6"/>
    </row>
    <row r="659" ht="14.25" customHeight="1">
      <c r="A659" s="34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6"/>
    </row>
    <row r="660" ht="14.25" customHeight="1">
      <c r="A660" s="34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6"/>
    </row>
    <row r="661" ht="14.25" customHeight="1">
      <c r="A661" s="34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6"/>
    </row>
    <row r="662" ht="14.25" customHeight="1">
      <c r="A662" s="34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6"/>
    </row>
    <row r="663" ht="14.25" customHeight="1">
      <c r="A663" s="34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6"/>
    </row>
    <row r="664" ht="14.25" customHeight="1">
      <c r="A664" s="34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6"/>
    </row>
    <row r="665" ht="14.25" customHeight="1">
      <c r="A665" s="34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6"/>
    </row>
    <row r="666" ht="14.25" customHeight="1">
      <c r="A666" s="34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6"/>
    </row>
    <row r="667" ht="14.25" customHeight="1">
      <c r="A667" s="34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6"/>
    </row>
    <row r="668" ht="14.25" customHeight="1">
      <c r="A668" s="34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6"/>
    </row>
    <row r="669" ht="14.25" customHeight="1">
      <c r="A669" s="34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6"/>
    </row>
    <row r="670" ht="14.25" customHeight="1">
      <c r="A670" s="34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6"/>
    </row>
    <row r="671" ht="14.25" customHeight="1">
      <c r="A671" s="34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6"/>
    </row>
    <row r="672" ht="14.25" customHeight="1">
      <c r="A672" s="34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6"/>
    </row>
    <row r="673" ht="14.25" customHeight="1">
      <c r="A673" s="34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6"/>
    </row>
    <row r="674" ht="14.25" customHeight="1">
      <c r="A674" s="34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6"/>
    </row>
    <row r="675" ht="14.25" customHeight="1">
      <c r="A675" s="34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6"/>
    </row>
    <row r="676" ht="14.25" customHeight="1">
      <c r="A676" s="34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6"/>
    </row>
    <row r="677" ht="14.25" customHeight="1">
      <c r="A677" s="34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6"/>
    </row>
    <row r="678" ht="14.25" customHeight="1">
      <c r="A678" s="34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6"/>
    </row>
    <row r="679" ht="14.25" customHeight="1">
      <c r="A679" s="34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6"/>
    </row>
    <row r="680" ht="14.25" customHeight="1">
      <c r="A680" s="34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6"/>
    </row>
    <row r="681" ht="14.25" customHeight="1">
      <c r="A681" s="34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6"/>
    </row>
    <row r="682" ht="14.25" customHeight="1">
      <c r="A682" s="34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6"/>
    </row>
    <row r="683" ht="14.25" customHeight="1">
      <c r="A683" s="34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6"/>
    </row>
    <row r="684" ht="14.25" customHeight="1">
      <c r="A684" s="34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6"/>
    </row>
    <row r="685" ht="14.25" customHeight="1">
      <c r="A685" s="34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6"/>
    </row>
    <row r="686" ht="14.25" customHeight="1">
      <c r="A686" s="34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6"/>
    </row>
    <row r="687" ht="14.25" customHeight="1">
      <c r="A687" s="34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6"/>
    </row>
    <row r="688" ht="14.25" customHeight="1">
      <c r="A688" s="34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6"/>
    </row>
    <row r="689" ht="14.25" customHeight="1">
      <c r="A689" s="34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6"/>
    </row>
    <row r="690" ht="14.25" customHeight="1">
      <c r="A690" s="34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6"/>
    </row>
    <row r="691" ht="14.25" customHeight="1">
      <c r="A691" s="34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6"/>
    </row>
    <row r="692" ht="14.25" customHeight="1">
      <c r="A692" s="34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6"/>
    </row>
    <row r="693" ht="14.25" customHeight="1">
      <c r="A693" s="34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6"/>
    </row>
    <row r="694" ht="14.25" customHeight="1">
      <c r="A694" s="34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6"/>
    </row>
    <row r="695" ht="14.25" customHeight="1">
      <c r="A695" s="34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6"/>
    </row>
    <row r="696" ht="14.25" customHeight="1">
      <c r="A696" s="34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6"/>
    </row>
    <row r="697" ht="14.25" customHeight="1">
      <c r="A697" s="34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6"/>
    </row>
    <row r="698" ht="14.25" customHeight="1">
      <c r="A698" s="34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6"/>
    </row>
    <row r="699" ht="14.25" customHeight="1">
      <c r="A699" s="34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6"/>
    </row>
    <row r="700" ht="14.25" customHeight="1">
      <c r="A700" s="34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6"/>
    </row>
    <row r="701" ht="14.25" customHeight="1">
      <c r="A701" s="34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6"/>
    </row>
    <row r="702" ht="14.25" customHeight="1">
      <c r="A702" s="34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6"/>
    </row>
    <row r="703" ht="14.25" customHeight="1">
      <c r="A703" s="34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6"/>
    </row>
    <row r="704" ht="14.25" customHeight="1">
      <c r="A704" s="34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6"/>
    </row>
    <row r="705" ht="14.25" customHeight="1">
      <c r="A705" s="34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6"/>
    </row>
    <row r="706" ht="14.25" customHeight="1">
      <c r="A706" s="34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6"/>
    </row>
    <row r="707" ht="14.25" customHeight="1">
      <c r="A707" s="34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6"/>
    </row>
    <row r="708" ht="14.25" customHeight="1">
      <c r="A708" s="34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6"/>
    </row>
    <row r="709" ht="14.25" customHeight="1">
      <c r="A709" s="34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6"/>
    </row>
    <row r="710" ht="14.25" customHeight="1">
      <c r="A710" s="34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6"/>
    </row>
    <row r="711" ht="14.25" customHeight="1">
      <c r="A711" s="34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6"/>
    </row>
    <row r="712" ht="14.25" customHeight="1">
      <c r="A712" s="34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6"/>
    </row>
    <row r="713" ht="14.25" customHeight="1">
      <c r="A713" s="34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6"/>
    </row>
    <row r="714" ht="14.25" customHeight="1">
      <c r="A714" s="34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6"/>
    </row>
    <row r="715" ht="14.25" customHeight="1">
      <c r="A715" s="34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6"/>
    </row>
    <row r="716" ht="14.25" customHeight="1">
      <c r="A716" s="34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6"/>
    </row>
    <row r="717" ht="14.25" customHeight="1">
      <c r="A717" s="34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6"/>
    </row>
    <row r="718" ht="14.25" customHeight="1">
      <c r="A718" s="34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6"/>
    </row>
    <row r="719" ht="14.25" customHeight="1">
      <c r="A719" s="34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6"/>
    </row>
    <row r="720" ht="14.25" customHeight="1">
      <c r="A720" s="34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6"/>
    </row>
    <row r="721" ht="14.25" customHeight="1">
      <c r="A721" s="34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6"/>
    </row>
    <row r="722" ht="14.25" customHeight="1">
      <c r="A722" s="34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6"/>
    </row>
    <row r="723" ht="14.25" customHeight="1">
      <c r="A723" s="34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6"/>
    </row>
    <row r="724" ht="14.25" customHeight="1">
      <c r="A724" s="34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6"/>
    </row>
    <row r="725" ht="14.25" customHeight="1">
      <c r="A725" s="34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6"/>
    </row>
    <row r="726" ht="14.25" customHeight="1">
      <c r="A726" s="34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6"/>
    </row>
    <row r="727" ht="14.25" customHeight="1">
      <c r="A727" s="34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6"/>
    </row>
    <row r="728" ht="14.25" customHeight="1">
      <c r="A728" s="34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6"/>
    </row>
    <row r="729" ht="14.25" customHeight="1">
      <c r="A729" s="34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6"/>
    </row>
    <row r="730" ht="14.25" customHeight="1">
      <c r="A730" s="34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6"/>
    </row>
    <row r="731" ht="14.25" customHeight="1">
      <c r="A731" s="34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6"/>
    </row>
    <row r="732" ht="14.25" customHeight="1">
      <c r="A732" s="34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6"/>
    </row>
    <row r="733" ht="14.25" customHeight="1">
      <c r="A733" s="34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6"/>
    </row>
    <row r="734" ht="14.25" customHeight="1">
      <c r="A734" s="34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6"/>
    </row>
    <row r="735" ht="14.25" customHeight="1">
      <c r="A735" s="34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6"/>
    </row>
    <row r="736" ht="14.25" customHeight="1">
      <c r="A736" s="34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6"/>
    </row>
    <row r="737" ht="14.25" customHeight="1">
      <c r="A737" s="34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6"/>
    </row>
    <row r="738" ht="14.25" customHeight="1">
      <c r="A738" s="34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6"/>
    </row>
    <row r="739" ht="14.25" customHeight="1">
      <c r="A739" s="34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6"/>
    </row>
    <row r="740" ht="14.25" customHeight="1">
      <c r="A740" s="34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6"/>
    </row>
    <row r="741" ht="14.25" customHeight="1">
      <c r="A741" s="34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6"/>
    </row>
    <row r="742" ht="14.25" customHeight="1">
      <c r="A742" s="34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6"/>
    </row>
    <row r="743" ht="14.25" customHeight="1">
      <c r="A743" s="34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6"/>
    </row>
    <row r="744" ht="14.25" customHeight="1">
      <c r="A744" s="34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6"/>
    </row>
    <row r="745" ht="14.25" customHeight="1">
      <c r="A745" s="34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6"/>
    </row>
    <row r="746" ht="14.25" customHeight="1">
      <c r="A746" s="34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6"/>
    </row>
    <row r="747" ht="14.25" customHeight="1">
      <c r="A747" s="34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6"/>
    </row>
    <row r="748" ht="14.25" customHeight="1">
      <c r="A748" s="34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6"/>
    </row>
    <row r="749" ht="14.25" customHeight="1">
      <c r="A749" s="34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6"/>
    </row>
    <row r="750" ht="14.25" customHeight="1">
      <c r="A750" s="34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6"/>
    </row>
    <row r="751" ht="14.25" customHeight="1">
      <c r="A751" s="34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6"/>
    </row>
    <row r="752" ht="14.25" customHeight="1">
      <c r="A752" s="34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6"/>
    </row>
    <row r="753" ht="14.25" customHeight="1">
      <c r="A753" s="34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6"/>
    </row>
    <row r="754" ht="14.25" customHeight="1">
      <c r="A754" s="34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6"/>
    </row>
    <row r="755" ht="14.25" customHeight="1">
      <c r="A755" s="34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6"/>
    </row>
    <row r="756" ht="14.25" customHeight="1">
      <c r="A756" s="34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6"/>
    </row>
    <row r="757" ht="14.25" customHeight="1">
      <c r="A757" s="34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6"/>
    </row>
    <row r="758" ht="14.25" customHeight="1">
      <c r="A758" s="34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6"/>
    </row>
    <row r="759" ht="14.25" customHeight="1">
      <c r="A759" s="34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6"/>
    </row>
    <row r="760" ht="14.25" customHeight="1">
      <c r="A760" s="34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6"/>
    </row>
    <row r="761" ht="14.25" customHeight="1">
      <c r="A761" s="34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6"/>
    </row>
    <row r="762" ht="14.25" customHeight="1">
      <c r="A762" s="34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6"/>
    </row>
    <row r="763" ht="14.25" customHeight="1">
      <c r="A763" s="34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6"/>
    </row>
    <row r="764" ht="14.25" customHeight="1">
      <c r="A764" s="34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6"/>
    </row>
    <row r="765" ht="14.25" customHeight="1">
      <c r="A765" s="34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6"/>
    </row>
    <row r="766" ht="14.25" customHeight="1">
      <c r="A766" s="34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6"/>
    </row>
    <row r="767" ht="14.25" customHeight="1">
      <c r="A767" s="34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6"/>
    </row>
    <row r="768" ht="14.25" customHeight="1">
      <c r="A768" s="34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6"/>
    </row>
    <row r="769" ht="14.25" customHeight="1">
      <c r="A769" s="34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6"/>
    </row>
    <row r="770" ht="14.25" customHeight="1">
      <c r="A770" s="34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6"/>
    </row>
    <row r="771" ht="14.25" customHeight="1">
      <c r="A771" s="34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6"/>
    </row>
    <row r="772" ht="14.25" customHeight="1">
      <c r="A772" s="34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6"/>
    </row>
    <row r="773" ht="14.25" customHeight="1">
      <c r="A773" s="34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6"/>
    </row>
    <row r="774" ht="14.25" customHeight="1">
      <c r="A774" s="34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6"/>
    </row>
    <row r="775" ht="14.25" customHeight="1">
      <c r="A775" s="34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6"/>
    </row>
    <row r="776" ht="14.25" customHeight="1">
      <c r="A776" s="34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6"/>
    </row>
    <row r="777" ht="14.25" customHeight="1">
      <c r="A777" s="34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6"/>
    </row>
    <row r="778" ht="14.25" customHeight="1">
      <c r="A778" s="34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6"/>
    </row>
    <row r="779" ht="14.25" customHeight="1">
      <c r="A779" s="34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6"/>
    </row>
    <row r="780" ht="14.25" customHeight="1">
      <c r="A780" s="34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6"/>
    </row>
    <row r="781" ht="14.25" customHeight="1">
      <c r="A781" s="34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6"/>
    </row>
    <row r="782" ht="14.25" customHeight="1">
      <c r="A782" s="34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6"/>
    </row>
    <row r="783" ht="14.25" customHeight="1">
      <c r="A783" s="34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6"/>
    </row>
    <row r="784" ht="14.25" customHeight="1">
      <c r="A784" s="34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6"/>
    </row>
    <row r="785" ht="14.25" customHeight="1">
      <c r="A785" s="34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6"/>
    </row>
    <row r="786" ht="14.25" customHeight="1">
      <c r="A786" s="34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6"/>
    </row>
    <row r="787" ht="14.25" customHeight="1">
      <c r="A787" s="34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6"/>
    </row>
    <row r="788" ht="14.25" customHeight="1">
      <c r="A788" s="34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6"/>
    </row>
    <row r="789" ht="14.25" customHeight="1">
      <c r="A789" s="34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6"/>
    </row>
    <row r="790" ht="14.25" customHeight="1">
      <c r="A790" s="34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6"/>
    </row>
    <row r="791" ht="14.25" customHeight="1">
      <c r="A791" s="34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6"/>
    </row>
    <row r="792" ht="14.25" customHeight="1">
      <c r="A792" s="34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6"/>
    </row>
    <row r="793" ht="14.25" customHeight="1">
      <c r="A793" s="34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6"/>
    </row>
    <row r="794" ht="14.25" customHeight="1">
      <c r="A794" s="34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6"/>
    </row>
    <row r="795" ht="14.25" customHeight="1">
      <c r="A795" s="34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6"/>
    </row>
    <row r="796" ht="14.25" customHeight="1">
      <c r="A796" s="34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6"/>
    </row>
    <row r="797" ht="14.25" customHeight="1">
      <c r="A797" s="34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6"/>
    </row>
    <row r="798" ht="14.25" customHeight="1">
      <c r="A798" s="34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6"/>
    </row>
    <row r="799" ht="14.25" customHeight="1">
      <c r="A799" s="34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6"/>
    </row>
    <row r="800" ht="14.25" customHeight="1">
      <c r="A800" s="34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6"/>
    </row>
    <row r="801" ht="14.25" customHeight="1">
      <c r="A801" s="34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6"/>
    </row>
    <row r="802" ht="14.25" customHeight="1">
      <c r="A802" s="34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6"/>
    </row>
    <row r="803" ht="14.25" customHeight="1">
      <c r="A803" s="34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6"/>
    </row>
    <row r="804" ht="14.25" customHeight="1">
      <c r="A804" s="34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6"/>
    </row>
    <row r="805" ht="14.25" customHeight="1">
      <c r="A805" s="34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6"/>
    </row>
    <row r="806" ht="14.25" customHeight="1">
      <c r="A806" s="34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6"/>
    </row>
    <row r="807" ht="14.25" customHeight="1">
      <c r="A807" s="34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6"/>
    </row>
    <row r="808" ht="14.25" customHeight="1">
      <c r="A808" s="34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6"/>
    </row>
    <row r="809" ht="14.25" customHeight="1">
      <c r="A809" s="34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6"/>
    </row>
    <row r="810" ht="14.25" customHeight="1">
      <c r="A810" s="34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6"/>
    </row>
    <row r="811" ht="14.25" customHeight="1">
      <c r="A811" s="34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6"/>
    </row>
    <row r="812" ht="14.25" customHeight="1">
      <c r="A812" s="34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6"/>
    </row>
    <row r="813" ht="14.25" customHeight="1">
      <c r="A813" s="34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6"/>
    </row>
    <row r="814" ht="14.25" customHeight="1">
      <c r="A814" s="34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6"/>
    </row>
    <row r="815" ht="14.25" customHeight="1">
      <c r="A815" s="34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6"/>
    </row>
    <row r="816" ht="14.25" customHeight="1">
      <c r="A816" s="34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6"/>
    </row>
    <row r="817" ht="14.25" customHeight="1">
      <c r="A817" s="34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6"/>
    </row>
    <row r="818" ht="14.25" customHeight="1">
      <c r="A818" s="34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6"/>
    </row>
    <row r="819" ht="14.25" customHeight="1">
      <c r="A819" s="34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6"/>
    </row>
    <row r="820" ht="14.25" customHeight="1">
      <c r="A820" s="34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6"/>
    </row>
    <row r="821" ht="14.25" customHeight="1">
      <c r="A821" s="34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6"/>
    </row>
    <row r="822" ht="14.25" customHeight="1">
      <c r="A822" s="34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6"/>
    </row>
    <row r="823" ht="14.25" customHeight="1">
      <c r="A823" s="34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6"/>
    </row>
    <row r="824" ht="14.25" customHeight="1">
      <c r="A824" s="34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6"/>
    </row>
    <row r="825" ht="14.25" customHeight="1">
      <c r="A825" s="34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6"/>
    </row>
    <row r="826" ht="14.25" customHeight="1">
      <c r="A826" s="34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6"/>
    </row>
    <row r="827" ht="14.25" customHeight="1">
      <c r="A827" s="34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6"/>
    </row>
    <row r="828" ht="14.25" customHeight="1">
      <c r="A828" s="34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6"/>
    </row>
    <row r="829" ht="14.25" customHeight="1">
      <c r="A829" s="34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6"/>
    </row>
    <row r="830" ht="14.25" customHeight="1">
      <c r="A830" s="34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6"/>
    </row>
    <row r="831" ht="14.25" customHeight="1">
      <c r="A831" s="34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6"/>
    </row>
    <row r="832" ht="14.25" customHeight="1">
      <c r="A832" s="34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6"/>
    </row>
    <row r="833" ht="14.25" customHeight="1">
      <c r="A833" s="34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6"/>
    </row>
    <row r="834" ht="14.25" customHeight="1">
      <c r="A834" s="34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6"/>
    </row>
    <row r="835" ht="14.25" customHeight="1">
      <c r="A835" s="34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6"/>
    </row>
    <row r="836" ht="14.25" customHeight="1">
      <c r="A836" s="34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6"/>
    </row>
    <row r="837" ht="14.25" customHeight="1">
      <c r="A837" s="34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6"/>
    </row>
    <row r="838" ht="14.25" customHeight="1">
      <c r="A838" s="34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6"/>
    </row>
    <row r="839" ht="14.25" customHeight="1">
      <c r="A839" s="34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6"/>
    </row>
    <row r="840" ht="14.25" customHeight="1">
      <c r="A840" s="34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6"/>
    </row>
    <row r="841" ht="14.25" customHeight="1">
      <c r="A841" s="34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6"/>
    </row>
    <row r="842" ht="14.25" customHeight="1">
      <c r="A842" s="34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6"/>
    </row>
    <row r="843" ht="14.25" customHeight="1">
      <c r="A843" s="34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6"/>
    </row>
    <row r="844" ht="14.25" customHeight="1">
      <c r="A844" s="34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6"/>
    </row>
    <row r="845" ht="14.25" customHeight="1">
      <c r="A845" s="34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6"/>
    </row>
    <row r="846" ht="14.25" customHeight="1">
      <c r="A846" s="34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6"/>
    </row>
    <row r="847" ht="14.25" customHeight="1">
      <c r="A847" s="34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6"/>
    </row>
    <row r="848" ht="14.25" customHeight="1">
      <c r="A848" s="34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6"/>
    </row>
    <row r="849" ht="14.25" customHeight="1">
      <c r="A849" s="34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6"/>
    </row>
    <row r="850" ht="14.25" customHeight="1">
      <c r="A850" s="34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6"/>
    </row>
    <row r="851" ht="14.25" customHeight="1">
      <c r="A851" s="34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6"/>
    </row>
    <row r="852" ht="14.25" customHeight="1">
      <c r="A852" s="34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6"/>
    </row>
    <row r="853" ht="14.25" customHeight="1">
      <c r="A853" s="34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6"/>
    </row>
    <row r="854" ht="14.25" customHeight="1">
      <c r="A854" s="34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6"/>
    </row>
    <row r="855" ht="14.25" customHeight="1">
      <c r="A855" s="34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6"/>
    </row>
    <row r="856" ht="14.25" customHeight="1">
      <c r="A856" s="34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6"/>
    </row>
    <row r="857" ht="14.25" customHeight="1">
      <c r="A857" s="34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6"/>
    </row>
    <row r="858" ht="14.25" customHeight="1">
      <c r="A858" s="34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6"/>
    </row>
    <row r="859" ht="14.25" customHeight="1">
      <c r="A859" s="34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6"/>
    </row>
    <row r="860" ht="14.25" customHeight="1">
      <c r="A860" s="34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6"/>
    </row>
    <row r="861" ht="14.25" customHeight="1">
      <c r="A861" s="34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6"/>
    </row>
    <row r="862" ht="14.25" customHeight="1">
      <c r="A862" s="34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6"/>
    </row>
    <row r="863" ht="14.25" customHeight="1">
      <c r="A863" s="34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6"/>
    </row>
    <row r="864" ht="14.25" customHeight="1">
      <c r="A864" s="34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6"/>
    </row>
    <row r="865" ht="14.25" customHeight="1">
      <c r="A865" s="34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6"/>
    </row>
    <row r="866" ht="14.25" customHeight="1">
      <c r="A866" s="34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6"/>
    </row>
    <row r="867" ht="14.25" customHeight="1">
      <c r="A867" s="34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6"/>
    </row>
    <row r="868" ht="14.25" customHeight="1">
      <c r="A868" s="34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6"/>
    </row>
    <row r="869" ht="14.25" customHeight="1">
      <c r="A869" s="34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6"/>
    </row>
    <row r="870" ht="14.25" customHeight="1">
      <c r="A870" s="34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6"/>
    </row>
    <row r="871" ht="14.25" customHeight="1">
      <c r="A871" s="34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6"/>
    </row>
    <row r="872" ht="14.25" customHeight="1">
      <c r="A872" s="34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6"/>
    </row>
    <row r="873" ht="14.25" customHeight="1">
      <c r="A873" s="34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6"/>
    </row>
    <row r="874" ht="14.25" customHeight="1">
      <c r="A874" s="34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6"/>
    </row>
    <row r="875" ht="14.25" customHeight="1">
      <c r="A875" s="34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6"/>
    </row>
    <row r="876" ht="14.25" customHeight="1">
      <c r="A876" s="34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6"/>
    </row>
    <row r="877" ht="14.25" customHeight="1">
      <c r="A877" s="34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6"/>
    </row>
    <row r="878" ht="14.25" customHeight="1">
      <c r="A878" s="34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6"/>
    </row>
    <row r="879" ht="14.25" customHeight="1">
      <c r="A879" s="34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6"/>
    </row>
    <row r="880" ht="14.25" customHeight="1">
      <c r="A880" s="34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6"/>
    </row>
    <row r="881" ht="14.25" customHeight="1">
      <c r="A881" s="34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6"/>
    </row>
    <row r="882" ht="14.25" customHeight="1">
      <c r="A882" s="34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6"/>
    </row>
    <row r="883" ht="14.25" customHeight="1">
      <c r="A883" s="34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6"/>
    </row>
    <row r="884" ht="14.25" customHeight="1">
      <c r="A884" s="34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6"/>
    </row>
    <row r="885" ht="14.25" customHeight="1">
      <c r="A885" s="34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6"/>
    </row>
    <row r="886" ht="14.25" customHeight="1">
      <c r="A886" s="34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6"/>
    </row>
    <row r="887" ht="14.25" customHeight="1">
      <c r="A887" s="34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6"/>
    </row>
    <row r="888" ht="14.25" customHeight="1">
      <c r="A888" s="34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6"/>
    </row>
    <row r="889" ht="14.25" customHeight="1">
      <c r="A889" s="34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6"/>
    </row>
    <row r="890" ht="14.25" customHeight="1">
      <c r="A890" s="34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6"/>
    </row>
    <row r="891" ht="14.25" customHeight="1">
      <c r="A891" s="34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6"/>
    </row>
    <row r="892" ht="14.25" customHeight="1">
      <c r="A892" s="34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6"/>
    </row>
    <row r="893" ht="14.25" customHeight="1">
      <c r="A893" s="34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6"/>
    </row>
    <row r="894" ht="14.25" customHeight="1">
      <c r="A894" s="34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6"/>
    </row>
    <row r="895" ht="14.25" customHeight="1">
      <c r="A895" s="34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6"/>
    </row>
    <row r="896" ht="14.25" customHeight="1">
      <c r="A896" s="34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6"/>
    </row>
    <row r="897" ht="14.25" customHeight="1">
      <c r="A897" s="34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6"/>
    </row>
    <row r="898" ht="14.25" customHeight="1">
      <c r="A898" s="34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6"/>
    </row>
    <row r="899" ht="14.25" customHeight="1">
      <c r="A899" s="34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6"/>
    </row>
    <row r="900" ht="14.25" customHeight="1">
      <c r="A900" s="34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6"/>
    </row>
    <row r="901" ht="14.25" customHeight="1">
      <c r="A901" s="34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6"/>
    </row>
    <row r="902" ht="14.25" customHeight="1">
      <c r="A902" s="34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6"/>
    </row>
    <row r="903" ht="14.25" customHeight="1">
      <c r="A903" s="34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6"/>
    </row>
    <row r="904" ht="14.25" customHeight="1">
      <c r="A904" s="34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6"/>
    </row>
    <row r="905" ht="14.25" customHeight="1">
      <c r="A905" s="34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6"/>
    </row>
    <row r="906" ht="14.25" customHeight="1">
      <c r="A906" s="34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6"/>
    </row>
    <row r="907" ht="14.25" customHeight="1">
      <c r="A907" s="34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6"/>
    </row>
    <row r="908" ht="14.25" customHeight="1">
      <c r="A908" s="34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6"/>
    </row>
    <row r="909" ht="14.25" customHeight="1">
      <c r="A909" s="34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6"/>
    </row>
    <row r="910" ht="14.25" customHeight="1">
      <c r="A910" s="34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6"/>
    </row>
    <row r="911" ht="14.25" customHeight="1">
      <c r="A911" s="34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6"/>
    </row>
    <row r="912" ht="14.25" customHeight="1">
      <c r="A912" s="34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6"/>
    </row>
    <row r="913" ht="14.25" customHeight="1">
      <c r="A913" s="34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6"/>
    </row>
    <row r="914" ht="14.25" customHeight="1">
      <c r="A914" s="34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6"/>
    </row>
    <row r="915" ht="14.25" customHeight="1">
      <c r="A915" s="34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6"/>
    </row>
    <row r="916" ht="14.25" customHeight="1">
      <c r="A916" s="34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6"/>
    </row>
    <row r="917" ht="14.25" customHeight="1">
      <c r="A917" s="34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6"/>
    </row>
    <row r="918" ht="14.25" customHeight="1">
      <c r="A918" s="34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6"/>
    </row>
    <row r="919" ht="14.25" customHeight="1">
      <c r="A919" s="34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6"/>
    </row>
    <row r="920" ht="14.25" customHeight="1">
      <c r="A920" s="34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6"/>
    </row>
    <row r="921" ht="14.25" customHeight="1">
      <c r="A921" s="34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6"/>
    </row>
    <row r="922" ht="14.25" customHeight="1">
      <c r="A922" s="34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6"/>
    </row>
    <row r="923" ht="14.25" customHeight="1">
      <c r="A923" s="34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6"/>
    </row>
    <row r="924" ht="14.25" customHeight="1">
      <c r="A924" s="34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6"/>
    </row>
    <row r="925" ht="14.25" customHeight="1">
      <c r="A925" s="34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6"/>
    </row>
    <row r="926" ht="14.25" customHeight="1">
      <c r="A926" s="34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6"/>
    </row>
    <row r="927" ht="14.25" customHeight="1">
      <c r="A927" s="34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6"/>
    </row>
    <row r="928" ht="14.25" customHeight="1">
      <c r="A928" s="34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6"/>
    </row>
    <row r="929" ht="14.25" customHeight="1">
      <c r="A929" s="34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6"/>
    </row>
    <row r="930" ht="14.25" customHeight="1">
      <c r="A930" s="34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6"/>
    </row>
    <row r="931" ht="14.25" customHeight="1">
      <c r="A931" s="34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6"/>
    </row>
    <row r="932" ht="14.25" customHeight="1">
      <c r="A932" s="34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6"/>
    </row>
    <row r="933" ht="14.25" customHeight="1">
      <c r="A933" s="34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6"/>
    </row>
    <row r="934" ht="14.25" customHeight="1">
      <c r="A934" s="34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6"/>
    </row>
    <row r="935" ht="14.25" customHeight="1">
      <c r="A935" s="34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6"/>
    </row>
    <row r="936" ht="14.25" customHeight="1">
      <c r="A936" s="34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6"/>
    </row>
    <row r="937" ht="14.25" customHeight="1">
      <c r="A937" s="34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6"/>
    </row>
    <row r="938" ht="14.25" customHeight="1">
      <c r="A938" s="34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6"/>
    </row>
    <row r="939" ht="14.25" customHeight="1">
      <c r="A939" s="34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6"/>
    </row>
    <row r="940" ht="14.25" customHeight="1">
      <c r="A940" s="34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6"/>
    </row>
    <row r="941" ht="14.25" customHeight="1">
      <c r="A941" s="34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6"/>
    </row>
    <row r="942" ht="14.25" customHeight="1">
      <c r="A942" s="34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6"/>
    </row>
    <row r="943" ht="14.25" customHeight="1">
      <c r="A943" s="34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6"/>
    </row>
    <row r="944" ht="14.25" customHeight="1">
      <c r="A944" s="34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6"/>
    </row>
    <row r="945" ht="14.25" customHeight="1">
      <c r="A945" s="34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6"/>
    </row>
    <row r="946" ht="14.25" customHeight="1">
      <c r="A946" s="34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6"/>
    </row>
    <row r="947" ht="14.25" customHeight="1">
      <c r="A947" s="34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6"/>
    </row>
    <row r="948" ht="14.25" customHeight="1">
      <c r="A948" s="34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6"/>
    </row>
    <row r="949" ht="14.25" customHeight="1">
      <c r="A949" s="34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6"/>
    </row>
    <row r="950" ht="14.25" customHeight="1">
      <c r="A950" s="34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6"/>
    </row>
    <row r="951" ht="14.25" customHeight="1">
      <c r="A951" s="34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6"/>
    </row>
    <row r="952" ht="14.25" customHeight="1">
      <c r="A952" s="34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6"/>
    </row>
    <row r="953" ht="14.25" customHeight="1">
      <c r="A953" s="34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6"/>
    </row>
    <row r="954" ht="14.25" customHeight="1">
      <c r="A954" s="34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6"/>
    </row>
    <row r="955" ht="14.25" customHeight="1">
      <c r="A955" s="34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6"/>
    </row>
    <row r="956" ht="14.25" customHeight="1">
      <c r="A956" s="34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6"/>
    </row>
    <row r="957" ht="14.25" customHeight="1">
      <c r="A957" s="34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6"/>
    </row>
    <row r="958" ht="14.25" customHeight="1">
      <c r="A958" s="34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6"/>
    </row>
    <row r="959" ht="14.25" customHeight="1">
      <c r="A959" s="34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6"/>
    </row>
    <row r="960" ht="14.25" customHeight="1">
      <c r="A960" s="34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6"/>
    </row>
    <row r="961" ht="14.25" customHeight="1">
      <c r="A961" s="34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6"/>
    </row>
    <row r="962" ht="14.25" customHeight="1">
      <c r="A962" s="34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6"/>
    </row>
    <row r="963" ht="14.25" customHeight="1">
      <c r="A963" s="34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6"/>
    </row>
    <row r="964" ht="14.25" customHeight="1">
      <c r="A964" s="34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6"/>
    </row>
    <row r="965" ht="14.25" customHeight="1">
      <c r="A965" s="34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6"/>
    </row>
    <row r="966" ht="14.25" customHeight="1">
      <c r="A966" s="34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6"/>
    </row>
    <row r="967" ht="14.25" customHeight="1">
      <c r="A967" s="34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6"/>
    </row>
    <row r="968" ht="14.25" customHeight="1">
      <c r="A968" s="34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6"/>
    </row>
    <row r="969" ht="14.25" customHeight="1">
      <c r="A969" s="34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6"/>
    </row>
    <row r="970" ht="14.25" customHeight="1">
      <c r="A970" s="34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6"/>
    </row>
    <row r="971" ht="14.25" customHeight="1">
      <c r="A971" s="34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6"/>
    </row>
    <row r="972" ht="14.25" customHeight="1">
      <c r="A972" s="34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6"/>
    </row>
    <row r="973" ht="14.25" customHeight="1">
      <c r="A973" s="34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6"/>
    </row>
    <row r="974" ht="14.25" customHeight="1">
      <c r="A974" s="34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6"/>
    </row>
    <row r="975" ht="14.25" customHeight="1">
      <c r="A975" s="34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6"/>
    </row>
    <row r="976" ht="14.25" customHeight="1">
      <c r="A976" s="34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6"/>
    </row>
    <row r="977" ht="14.25" customHeight="1">
      <c r="A977" s="34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6"/>
    </row>
    <row r="978" ht="14.25" customHeight="1">
      <c r="A978" s="34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6"/>
    </row>
    <row r="979" ht="14.25" customHeight="1">
      <c r="A979" s="34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6"/>
    </row>
    <row r="980" ht="14.25" customHeight="1">
      <c r="A980" s="34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6"/>
    </row>
    <row r="981" ht="14.25" customHeight="1">
      <c r="A981" s="34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6"/>
    </row>
    <row r="982" ht="14.25" customHeight="1">
      <c r="A982" s="34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6"/>
    </row>
    <row r="983" ht="14.25" customHeight="1">
      <c r="A983" s="34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6"/>
    </row>
    <row r="984" ht="14.25" customHeight="1">
      <c r="A984" s="34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6"/>
    </row>
    <row r="985" ht="14.25" customHeight="1">
      <c r="A985" s="34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6"/>
    </row>
    <row r="986" ht="14.25" customHeight="1">
      <c r="A986" s="34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6"/>
    </row>
    <row r="987" ht="14.25" customHeight="1">
      <c r="A987" s="34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6"/>
    </row>
    <row r="988" ht="14.25" customHeight="1">
      <c r="A988" s="34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6"/>
    </row>
    <row r="989" ht="14.25" customHeight="1">
      <c r="A989" s="34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6"/>
    </row>
    <row r="990" ht="14.25" customHeight="1">
      <c r="A990" s="34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6"/>
    </row>
    <row r="991" ht="14.25" customHeight="1">
      <c r="A991" s="34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6"/>
    </row>
    <row r="992" ht="14.25" customHeight="1">
      <c r="A992" s="34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6"/>
    </row>
    <row r="993" ht="14.25" customHeight="1">
      <c r="A993" s="34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6"/>
    </row>
    <row r="994" ht="14.25" customHeight="1">
      <c r="A994" s="34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6"/>
    </row>
    <row r="995" ht="14.25" customHeight="1">
      <c r="A995" s="34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6"/>
    </row>
    <row r="996" ht="14.25" customHeight="1">
      <c r="A996" s="34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6"/>
    </row>
    <row r="997" ht="14.25" customHeight="1">
      <c r="A997" s="34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6"/>
    </row>
    <row r="998" ht="14.25" customHeight="1">
      <c r="A998" s="34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6"/>
    </row>
    <row r="999" ht="14.25" customHeight="1">
      <c r="A999" s="34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6"/>
    </row>
    <row r="1000" ht="14.25" customHeight="1">
      <c r="A1000" s="37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9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&amp;C&amp;"SimSun,Regular"&amp;11&amp;K000000000000&amp;P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